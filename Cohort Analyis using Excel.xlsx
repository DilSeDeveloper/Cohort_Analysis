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umy\OneDrive\Documents\"/>
    </mc:Choice>
  </mc:AlternateContent>
  <xr:revisionPtr revIDLastSave="0" documentId="8_{89B2C353-BA31-470C-A73F-494DFA70BFBB}" xr6:coauthVersionLast="47" xr6:coauthVersionMax="47" xr10:uidLastSave="{00000000-0000-0000-0000-000000000000}"/>
  <bookViews>
    <workbookView xWindow="-108" yWindow="-108" windowWidth="23256" windowHeight="12456" activeTab="1" xr2:uid="{50EE19C8-47BE-8C4D-990C-E6F998A8C56F}"/>
  </bookViews>
  <sheets>
    <sheet name="Cover Page" sheetId="3" r:id="rId1"/>
    <sheet name="Start File" sheetId="2" r:id="rId2"/>
    <sheet name="End Fi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2" l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46" i="2"/>
  <c r="F46" i="2" s="1"/>
  <c r="G47" i="2"/>
  <c r="G48" i="2"/>
  <c r="G49" i="2"/>
  <c r="G50" i="2"/>
  <c r="G51" i="2"/>
  <c r="G52" i="2"/>
  <c r="G53" i="2"/>
  <c r="G54" i="2"/>
  <c r="G55" i="2"/>
  <c r="G56" i="2"/>
  <c r="G57" i="2"/>
  <c r="F47" i="2"/>
  <c r="D47" i="2"/>
  <c r="D48" i="2"/>
  <c r="D49" i="2"/>
  <c r="D50" i="2"/>
  <c r="D51" i="2"/>
  <c r="D52" i="2"/>
  <c r="D53" i="2"/>
  <c r="D54" i="2"/>
  <c r="D55" i="2"/>
  <c r="D56" i="2"/>
  <c r="D57" i="2"/>
  <c r="D46" i="2"/>
  <c r="C47" i="2"/>
  <c r="C48" i="2"/>
  <c r="C49" i="2"/>
  <c r="C50" i="2"/>
  <c r="C51" i="2"/>
  <c r="C52" i="2"/>
  <c r="C53" i="2"/>
  <c r="C54" i="2"/>
  <c r="C55" i="2"/>
  <c r="C56" i="2"/>
  <c r="C57" i="2"/>
  <c r="C46" i="2"/>
  <c r="C31" i="2"/>
  <c r="P34" i="2"/>
  <c r="D31" i="2"/>
  <c r="E31" i="2"/>
  <c r="F31" i="2"/>
  <c r="G31" i="2"/>
  <c r="H31" i="2"/>
  <c r="I31" i="2"/>
  <c r="J31" i="2"/>
  <c r="K31" i="2"/>
  <c r="L31" i="2"/>
  <c r="M31" i="2"/>
  <c r="N31" i="2"/>
  <c r="D32" i="2"/>
  <c r="E32" i="2"/>
  <c r="F32" i="2"/>
  <c r="G32" i="2"/>
  <c r="H32" i="2"/>
  <c r="I32" i="2"/>
  <c r="J32" i="2"/>
  <c r="K32" i="2"/>
  <c r="L32" i="2"/>
  <c r="M32" i="2"/>
  <c r="D33" i="2"/>
  <c r="E33" i="2"/>
  <c r="F33" i="2"/>
  <c r="G33" i="2"/>
  <c r="H33" i="2"/>
  <c r="I33" i="2"/>
  <c r="J33" i="2"/>
  <c r="K33" i="2"/>
  <c r="L33" i="2"/>
  <c r="D34" i="2"/>
  <c r="E34" i="2"/>
  <c r="F34" i="2"/>
  <c r="G34" i="2"/>
  <c r="H34" i="2"/>
  <c r="I34" i="2"/>
  <c r="J34" i="2"/>
  <c r="K34" i="2"/>
  <c r="D35" i="2"/>
  <c r="E35" i="2"/>
  <c r="F35" i="2"/>
  <c r="G35" i="2"/>
  <c r="H35" i="2"/>
  <c r="I35" i="2"/>
  <c r="J35" i="2"/>
  <c r="D36" i="2"/>
  <c r="E36" i="2"/>
  <c r="F36" i="2"/>
  <c r="G36" i="2"/>
  <c r="H36" i="2"/>
  <c r="I36" i="2"/>
  <c r="D37" i="2"/>
  <c r="E37" i="2"/>
  <c r="F37" i="2"/>
  <c r="G37" i="2"/>
  <c r="H37" i="2"/>
  <c r="D38" i="2"/>
  <c r="E38" i="2"/>
  <c r="F38" i="2"/>
  <c r="G38" i="2"/>
  <c r="D39" i="2"/>
  <c r="E39" i="2"/>
  <c r="F39" i="2"/>
  <c r="D40" i="2"/>
  <c r="E40" i="2"/>
  <c r="D41" i="2"/>
  <c r="C32" i="2"/>
  <c r="C33" i="2"/>
  <c r="C34" i="2"/>
  <c r="C35" i="2"/>
  <c r="C36" i="2"/>
  <c r="C37" i="2"/>
  <c r="C38" i="2"/>
  <c r="C39" i="2"/>
  <c r="C40" i="2"/>
  <c r="C41" i="2"/>
  <c r="C42" i="2"/>
  <c r="C16" i="2"/>
  <c r="J16" i="2"/>
  <c r="E47" i="1"/>
  <c r="E48" i="1"/>
  <c r="E49" i="1"/>
  <c r="E50" i="1"/>
  <c r="E51" i="1"/>
  <c r="E52" i="1"/>
  <c r="E53" i="1"/>
  <c r="E54" i="1"/>
  <c r="E55" i="1"/>
  <c r="E56" i="1"/>
  <c r="E57" i="1"/>
  <c r="E46" i="1"/>
  <c r="C16" i="1"/>
  <c r="C17" i="1" s="1"/>
  <c r="J17" i="1" s="1"/>
  <c r="J32" i="1" s="1"/>
  <c r="G46" i="2" l="1"/>
  <c r="M16" i="2"/>
  <c r="G16" i="2"/>
  <c r="F16" i="2"/>
  <c r="C17" i="2"/>
  <c r="I16" i="2"/>
  <c r="H16" i="2"/>
  <c r="N16" i="2"/>
  <c r="D16" i="2"/>
  <c r="E16" i="2"/>
  <c r="L16" i="2"/>
  <c r="K16" i="2"/>
  <c r="C31" i="1"/>
  <c r="C32" i="1"/>
  <c r="J16" i="1"/>
  <c r="J31" i="1" s="1"/>
  <c r="N16" i="1"/>
  <c r="N31" i="1" s="1"/>
  <c r="I17" i="1"/>
  <c r="I32" i="1" s="1"/>
  <c r="K17" i="1"/>
  <c r="K32" i="1" s="1"/>
  <c r="L17" i="1"/>
  <c r="L32" i="1" s="1"/>
  <c r="H16" i="1"/>
  <c r="H31" i="1" s="1"/>
  <c r="L16" i="1"/>
  <c r="L31" i="1" s="1"/>
  <c r="M17" i="1"/>
  <c r="M32" i="1" s="1"/>
  <c r="K16" i="1"/>
  <c r="K31" i="1" s="1"/>
  <c r="M16" i="1"/>
  <c r="M31" i="1" s="1"/>
  <c r="D17" i="1"/>
  <c r="D32" i="1" s="1"/>
  <c r="D16" i="1"/>
  <c r="D31" i="1" s="1"/>
  <c r="E17" i="1"/>
  <c r="E32" i="1" s="1"/>
  <c r="E16" i="1"/>
  <c r="E31" i="1" s="1"/>
  <c r="F17" i="1"/>
  <c r="F32" i="1" s="1"/>
  <c r="F16" i="1"/>
  <c r="F31" i="1" s="1"/>
  <c r="G17" i="1"/>
  <c r="G32" i="1" s="1"/>
  <c r="G16" i="1"/>
  <c r="G31" i="1" s="1"/>
  <c r="H17" i="1"/>
  <c r="H32" i="1" s="1"/>
  <c r="I16" i="1"/>
  <c r="I31" i="1" s="1"/>
  <c r="C18" i="1"/>
  <c r="C33" i="1" s="1"/>
  <c r="K17" i="2" l="1"/>
  <c r="L17" i="2"/>
  <c r="M17" i="2"/>
  <c r="C18" i="2"/>
  <c r="E17" i="2"/>
  <c r="D17" i="2"/>
  <c r="I17" i="2"/>
  <c r="G17" i="2"/>
  <c r="H17" i="2"/>
  <c r="F17" i="2"/>
  <c r="J17" i="2"/>
  <c r="C47" i="1"/>
  <c r="D47" i="1" s="1"/>
  <c r="C46" i="1"/>
  <c r="D46" i="1" s="1"/>
  <c r="L18" i="1"/>
  <c r="L33" i="1" s="1"/>
  <c r="K18" i="1"/>
  <c r="K33" i="1" s="1"/>
  <c r="J18" i="1"/>
  <c r="J33" i="1" s="1"/>
  <c r="I18" i="1"/>
  <c r="I33" i="1" s="1"/>
  <c r="H18" i="1"/>
  <c r="H33" i="1" s="1"/>
  <c r="G18" i="1"/>
  <c r="G33" i="1" s="1"/>
  <c r="F18" i="1"/>
  <c r="F33" i="1" s="1"/>
  <c r="E18" i="1"/>
  <c r="E33" i="1" s="1"/>
  <c r="D18" i="1"/>
  <c r="D33" i="1" s="1"/>
  <c r="C19" i="1"/>
  <c r="C34" i="1" s="1"/>
  <c r="F18" i="2" l="1"/>
  <c r="G18" i="2"/>
  <c r="L18" i="2"/>
  <c r="D18" i="2"/>
  <c r="E18" i="2"/>
  <c r="H18" i="2"/>
  <c r="I18" i="2"/>
  <c r="J18" i="2"/>
  <c r="K18" i="2"/>
  <c r="C19" i="2"/>
  <c r="C48" i="1"/>
  <c r="D48" i="1" s="1"/>
  <c r="G48" i="1" s="1"/>
  <c r="G46" i="1"/>
  <c r="F46" i="1"/>
  <c r="G47" i="1"/>
  <c r="F47" i="1"/>
  <c r="D19" i="1"/>
  <c r="D34" i="1" s="1"/>
  <c r="K19" i="1"/>
  <c r="K34" i="1" s="1"/>
  <c r="J19" i="1"/>
  <c r="J34" i="1" s="1"/>
  <c r="I19" i="1"/>
  <c r="I34" i="1" s="1"/>
  <c r="H19" i="1"/>
  <c r="H34" i="1" s="1"/>
  <c r="G19" i="1"/>
  <c r="G34" i="1" s="1"/>
  <c r="F19" i="1"/>
  <c r="F34" i="1" s="1"/>
  <c r="E19" i="1"/>
  <c r="E34" i="1" s="1"/>
  <c r="C20" i="1"/>
  <c r="C35" i="1" s="1"/>
  <c r="E19" i="2" l="1"/>
  <c r="F19" i="2"/>
  <c r="G19" i="2"/>
  <c r="I19" i="2"/>
  <c r="J19" i="2"/>
  <c r="K19" i="2"/>
  <c r="D19" i="2"/>
  <c r="H19" i="2"/>
  <c r="C20" i="2"/>
  <c r="F48" i="1"/>
  <c r="C49" i="1"/>
  <c r="D49" i="1" s="1"/>
  <c r="G49" i="1" s="1"/>
  <c r="H20" i="1"/>
  <c r="H35" i="1" s="1"/>
  <c r="G20" i="1"/>
  <c r="G35" i="1" s="1"/>
  <c r="F20" i="1"/>
  <c r="F35" i="1" s="1"/>
  <c r="E20" i="1"/>
  <c r="E35" i="1" s="1"/>
  <c r="D20" i="1"/>
  <c r="D35" i="1" s="1"/>
  <c r="J20" i="1"/>
  <c r="J35" i="1" s="1"/>
  <c r="I20" i="1"/>
  <c r="I35" i="1" s="1"/>
  <c r="C21" i="1"/>
  <c r="C36" i="1" s="1"/>
  <c r="I20" i="2" l="1"/>
  <c r="J20" i="2"/>
  <c r="F20" i="2"/>
  <c r="G20" i="2"/>
  <c r="E20" i="2"/>
  <c r="C21" i="2"/>
  <c r="D20" i="2"/>
  <c r="H20" i="2"/>
  <c r="C50" i="1"/>
  <c r="D50" i="1" s="1"/>
  <c r="G50" i="1" s="1"/>
  <c r="F49" i="1"/>
  <c r="I21" i="1"/>
  <c r="I36" i="1" s="1"/>
  <c r="H21" i="1"/>
  <c r="H36" i="1" s="1"/>
  <c r="G21" i="1"/>
  <c r="G36" i="1" s="1"/>
  <c r="F21" i="1"/>
  <c r="F36" i="1" s="1"/>
  <c r="E21" i="1"/>
  <c r="E36" i="1" s="1"/>
  <c r="D21" i="1"/>
  <c r="D36" i="1" s="1"/>
  <c r="C22" i="1"/>
  <c r="C37" i="1" s="1"/>
  <c r="D21" i="2" l="1"/>
  <c r="I21" i="2"/>
  <c r="G21" i="2"/>
  <c r="C22" i="2"/>
  <c r="H21" i="2"/>
  <c r="E21" i="2"/>
  <c r="F21" i="2"/>
  <c r="F50" i="1"/>
  <c r="C51" i="1"/>
  <c r="D51" i="1" s="1"/>
  <c r="G51" i="1" s="1"/>
  <c r="G22" i="1"/>
  <c r="G37" i="1" s="1"/>
  <c r="F22" i="1"/>
  <c r="F37" i="1" s="1"/>
  <c r="E22" i="1"/>
  <c r="E37" i="1" s="1"/>
  <c r="D22" i="1"/>
  <c r="D37" i="1" s="1"/>
  <c r="H22" i="1"/>
  <c r="H37" i="1" s="1"/>
  <c r="C23" i="1"/>
  <c r="C38" i="1" s="1"/>
  <c r="F22" i="2" l="1"/>
  <c r="C23" i="2"/>
  <c r="G22" i="2"/>
  <c r="D22" i="2"/>
  <c r="E22" i="2"/>
  <c r="H22" i="2"/>
  <c r="F51" i="1"/>
  <c r="C52" i="1"/>
  <c r="D52" i="1" s="1"/>
  <c r="G52" i="1" s="1"/>
  <c r="G23" i="1"/>
  <c r="G38" i="1" s="1"/>
  <c r="F23" i="1"/>
  <c r="F38" i="1" s="1"/>
  <c r="E23" i="1"/>
  <c r="E38" i="1" s="1"/>
  <c r="D23" i="1"/>
  <c r="D38" i="1" s="1"/>
  <c r="C24" i="1"/>
  <c r="C39" i="1" s="1"/>
  <c r="C24" i="2" l="1"/>
  <c r="D23" i="2"/>
  <c r="E23" i="2"/>
  <c r="F23" i="2"/>
  <c r="G23" i="2"/>
  <c r="C53" i="1"/>
  <c r="D53" i="1" s="1"/>
  <c r="G53" i="1" s="1"/>
  <c r="F52" i="1"/>
  <c r="F24" i="1"/>
  <c r="F39" i="1" s="1"/>
  <c r="E24" i="1"/>
  <c r="E39" i="1" s="1"/>
  <c r="D24" i="1"/>
  <c r="D39" i="1" s="1"/>
  <c r="C25" i="1"/>
  <c r="C40" i="1" s="1"/>
  <c r="D24" i="2" l="1"/>
  <c r="F24" i="2"/>
  <c r="C25" i="2"/>
  <c r="E24" i="2"/>
  <c r="F53" i="1"/>
  <c r="C54" i="1"/>
  <c r="D54" i="1" s="1"/>
  <c r="G54" i="1" s="1"/>
  <c r="E25" i="1"/>
  <c r="E40" i="1" s="1"/>
  <c r="D25" i="1"/>
  <c r="D40" i="1" s="1"/>
  <c r="C26" i="1"/>
  <c r="D25" i="2" l="1"/>
  <c r="E25" i="2"/>
  <c r="C26" i="2"/>
  <c r="F54" i="1"/>
  <c r="C55" i="1"/>
  <c r="D55" i="1" s="1"/>
  <c r="G55" i="1" s="1"/>
  <c r="D26" i="1"/>
  <c r="D41" i="1" s="1"/>
  <c r="C41" i="1"/>
  <c r="C27" i="1"/>
  <c r="C42" i="1" s="1"/>
  <c r="C57" i="1" s="1"/>
  <c r="D57" i="1" s="1"/>
  <c r="D26" i="2" l="1"/>
  <c r="C27" i="2"/>
  <c r="F55" i="1"/>
  <c r="C56" i="1"/>
  <c r="D56" i="1" s="1"/>
  <c r="G56" i="1" s="1"/>
  <c r="G57" i="1"/>
  <c r="F57" i="1"/>
  <c r="F56" i="1" l="1"/>
</calcChain>
</file>

<file path=xl/sharedStrings.xml><?xml version="1.0" encoding="utf-8"?>
<sst xmlns="http://schemas.openxmlformats.org/spreadsheetml/2006/main" count="189" uniqueCount="36">
  <si>
    <t>Assumptions</t>
  </si>
  <si>
    <t>Initial Customers</t>
  </si>
  <si>
    <t>Customer Growth</t>
  </si>
  <si>
    <t>Avg Revenue by Customer</t>
  </si>
  <si>
    <t>CAC</t>
  </si>
  <si>
    <t>Customers by Cohort</t>
  </si>
  <si>
    <t>Cohort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</si>
  <si>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</si>
  <si>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</si>
  <si>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</si>
  <si>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</si>
  <si>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</si>
  <si>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</si>
  <si>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</si>
  <si>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</si>
  <si>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</si>
  <si>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</si>
  <si>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</si>
  <si>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</si>
  <si>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Revenue by Cohort</t>
  </si>
  <si>
    <t>Customer Lifetime Metrics</t>
  </si>
  <si>
    <t>Retention Rate Assumptions</t>
  </si>
  <si>
    <t>Total
Revenue</t>
  </si>
  <si>
    <t>Customer Lifetime Revenue</t>
  </si>
  <si>
    <t>Customer Lifetime Value</t>
  </si>
  <si>
    <t>CLV:CAC
Ratio</t>
  </si>
  <si>
    <t>Cohort Analysis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</si>
  <si>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</si>
  <si>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Complete Finance &amp; Valuation Course</t>
  </si>
  <si>
    <t>Go to video file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</si>
  <si>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</si>
  <si>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</si>
  <si>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</si>
  <si>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</si>
  <si>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Cohort Analysis in Excel</t>
  </si>
  <si>
    <t>CLR:CAC
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</si>
</sst>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\x"/>
  </numFmts>
  <fonts count="1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theme="4"/>
      <name val="Aptos Narrow"/>
      <family val="2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4" fillId="0" borderId="0" xfId="0" applyFont="1"/>
    <xf numFmtId="9" fontId="4" fillId="0" borderId="0" xfId="0" applyNumberFormat="1" applyFont="1"/>
    <xf numFmtId="0" fontId="0" fillId="3" borderId="0" xfId="0" applyFill="1" applyAlignment="1">
      <alignment horizontal="center"/>
    </xf>
    <xf numFmtId="17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4" fillId="0" borderId="0" xfId="0" applyNumberFormat="1" applyFont="1"/>
    <xf numFmtId="0" fontId="0" fillId="3" borderId="0" xfId="0" applyFill="1" applyAlignment="1">
      <alignment horizontal="center" wrapText="1"/>
    </xf>
    <xf numFmtId="0" fontId="0" fillId="0" borderId="1" xfId="0" applyBorder="1"/>
    <xf numFmtId="0" fontId="6" fillId="2" borderId="0" xfId="0" applyFont="1" applyFill="1"/>
    <xf numFmtId="17" fontId="6" fillId="2" borderId="0" xfId="0" applyNumberFormat="1" applyFont="1" applyFill="1" applyAlignment="1">
      <alignment horizontal="left"/>
    </xf>
    <xf numFmtId="0" fontId="7" fillId="0" borderId="1" xfId="0" applyFont="1" applyBorder="1"/>
    <xf numFmtId="0" fontId="8" fillId="0" borderId="2" xfId="2" applyBorder="1"/>
    <xf numFmtId="0" fontId="10" fillId="0" borderId="3" xfId="2" applyFont="1" applyBorder="1" applyAlignment="1">
      <alignment horizontal="center" vertical="center"/>
    </xf>
    <xf numFmtId="0" fontId="8" fillId="0" borderId="4" xfId="2" applyBorder="1"/>
    <xf numFmtId="0" fontId="8" fillId="2" borderId="0" xfId="2" applyFill="1"/>
    <xf numFmtId="0" fontId="8" fillId="0" borderId="5" xfId="2" applyBorder="1"/>
    <xf numFmtId="0" fontId="10" fillId="0" borderId="0" xfId="2" applyFont="1" applyAlignment="1">
      <alignment horizontal="center" vertical="center"/>
    </xf>
    <xf numFmtId="0" fontId="8" fillId="0" borderId="6" xfId="2" applyBorder="1"/>
    <xf numFmtId="0" fontId="8" fillId="0" borderId="0" xfId="2"/>
    <xf numFmtId="0" fontId="11" fillId="0" borderId="0" xfId="2" applyFont="1" applyAlignment="1">
      <alignment horizontal="center"/>
    </xf>
    <xf numFmtId="0" fontId="8" fillId="0" borderId="5" xfId="2" applyBorder="1" applyAlignment="1">
      <alignment vertical="center"/>
    </xf>
    <xf numFmtId="0" fontId="13" fillId="4" borderId="7" xfId="1" applyFont="1" applyFill="1" applyBorder="1" applyAlignment="1">
      <alignment horizontal="center" vertical="center"/>
    </xf>
    <xf numFmtId="0" fontId="8" fillId="0" borderId="6" xfId="2" applyBorder="1" applyAlignment="1">
      <alignment vertical="center"/>
    </xf>
    <xf numFmtId="0" fontId="8" fillId="2" borderId="0" xfId="2" applyFill="1" applyAlignment="1">
      <alignment vertical="center"/>
    </xf>
    <xf numFmtId="0" fontId="14" fillId="0" borderId="0" xfId="3" applyFont="1" applyFill="1" applyBorder="1"/>
    <xf numFmtId="0" fontId="15" fillId="0" borderId="8" xfId="2" applyFont="1" applyBorder="1"/>
    <xf numFmtId="0" fontId="8" fillId="0" borderId="0" xfId="2" applyAlignment="1">
      <alignment vertical="top" wrapText="1"/>
    </xf>
    <xf numFmtId="0" fontId="8" fillId="0" borderId="9" xfId="2" applyBorder="1"/>
    <xf numFmtId="0" fontId="8" fillId="0" borderId="8" xfId="2" applyBorder="1"/>
    <xf numFmtId="0" fontId="8" fillId="0" borderId="10" xfId="2" applyBorder="1"/>
    <xf numFmtId="0" fontId="16" fillId="0" borderId="0" xfId="1" applyFont="1"/>
    <xf numFmtId="3" fontId="0" fillId="0" borderId="0" xfId="0" applyNumberFormat="1"/>
  </cellXfs>
  <cellStyles count="4">
    <cellStyle name="Hyperlink" xfId="1" builtinId="8"/>
    <cellStyle name="Hyperlink 2" xfId="3" xr:uid="{562DB863-3293-D44B-91F5-2BF850B7DD77}"/>
    <cellStyle name="Normal" xfId="0" builtinId="0"/>
    <cellStyle name="Normal 2" xfId="2" xr:uid="{2A346229-9C45-C647-80B8-81AC5E407533}"/>
  </cellStyles>
  <dxfs count="0"/>
  <tableStyles count="0" defaultTableStyle="TableStyleMedium2" defaultPivotStyle="PivotStyleLight16"/>
  <colors>
    <mruColors>
      <color rgb="FF073673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'Start File'!$C$11:$N$11</c:f>
              <c:strCache>
                <c:ptCount val="12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</c:strCache>
            </c:strRef>
          </c:cat>
          <c:val>
            <c:numRef>
              <c:f>'Start File'!$C$12:$N$12</c:f>
              <c:numCache>
                <c:formatCode>0%</c:formatCode>
                <c:ptCount val="12"/>
                <c:pt idx="0">
                  <c:v>1</c:v>
                </c:pt>
                <c:pt idx="1">
                  <c:v>0.85</c:v>
                </c:pt>
                <c:pt idx="2">
                  <c:v>0.78</c:v>
                </c:pt>
                <c:pt idx="3">
                  <c:v>0.72</c:v>
                </c:pt>
                <c:pt idx="4">
                  <c:v>0.68</c:v>
                </c:pt>
                <c:pt idx="5">
                  <c:v>0.65</c:v>
                </c:pt>
                <c:pt idx="6">
                  <c:v>0.62</c:v>
                </c:pt>
                <c:pt idx="7">
                  <c:v>0.6</c:v>
                </c:pt>
                <c:pt idx="8">
                  <c:v>0.57999999999999996</c:v>
                </c:pt>
                <c:pt idx="9">
                  <c:v>0.56000000000000005</c:v>
                </c:pt>
                <c:pt idx="10">
                  <c:v>0.55000000000000004</c:v>
                </c:pt>
                <c:pt idx="11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2-43E9-95D8-44E601C1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789263"/>
        <c:axId val="609791183"/>
      </c:lineChart>
      <c:catAx>
        <c:axId val="60978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91183"/>
        <c:crosses val="autoZero"/>
        <c:auto val="1"/>
        <c:lblAlgn val="ctr"/>
        <c:lblOffset val="100"/>
        <c:noMultiLvlLbl val="0"/>
      </c:catAx>
      <c:valAx>
        <c:axId val="6097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8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'End File'!$C$11:$N$11</c:f>
              <c:strCache>
                <c:ptCount val="12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</c:strCache>
            </c:strRef>
          </c:cat>
          <c:val>
            <c:numRef>
              <c:f>'End File'!$C$12:$N$12</c:f>
              <c:numCache>
                <c:formatCode>0%</c:formatCode>
                <c:ptCount val="12"/>
                <c:pt idx="0">
                  <c:v>1</c:v>
                </c:pt>
                <c:pt idx="1">
                  <c:v>0.85</c:v>
                </c:pt>
                <c:pt idx="2">
                  <c:v>0.78</c:v>
                </c:pt>
                <c:pt idx="3">
                  <c:v>0.72</c:v>
                </c:pt>
                <c:pt idx="4">
                  <c:v>0.68</c:v>
                </c:pt>
                <c:pt idx="5">
                  <c:v>0.65</c:v>
                </c:pt>
                <c:pt idx="6">
                  <c:v>0.62</c:v>
                </c:pt>
                <c:pt idx="7">
                  <c:v>0.6</c:v>
                </c:pt>
                <c:pt idx="8">
                  <c:v>0.57999999999999996</c:v>
                </c:pt>
                <c:pt idx="9">
                  <c:v>0.56000000000000005</c:v>
                </c:pt>
                <c:pt idx="10">
                  <c:v>0.55000000000000004</c:v>
                </c:pt>
                <c:pt idx="11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D-466C-B30A-CFD6D0B02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06112"/>
        <c:axId val="775439232"/>
      </c:lineChart>
      <c:catAx>
        <c:axId val="5089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775439232"/>
        <c:crosses val="autoZero"/>
        <c:auto val="1"/>
        <c:lblAlgn val="ctr"/>
        <c:lblOffset val="100"/>
        <c:noMultiLvlLbl val="0"/>
      </c:catAx>
      <c:valAx>
        <c:axId val="7754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089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5CC848-9E56-8A4B-B7E9-CD30D535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531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643890</xdr:colOff>
      <xdr:row>2</xdr:row>
      <xdr:rowOff>186690</xdr:rowOff>
    </xdr:from>
    <xdr:to>
      <xdr:col>20</xdr:col>
      <xdr:colOff>95250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7C639-7AD9-6F45-4DD0-368063738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22860</xdr:rowOff>
    </xdr:from>
    <xdr:to>
      <xdr:col>13</xdr:col>
      <xdr:colOff>708660</xdr:colOff>
      <xdr:row>73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931A2-1564-4ADE-8878-B991090E6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finance-valuation-cours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C1C2-133C-2F4D-9C24-5E28193A70FC}">
  <dimension ref="B3:D18"/>
  <sheetViews>
    <sheetView showGridLines="0" zoomScale="120" zoomScaleNormal="120" workbookViewId="0">
      <selection activeCell="C9" sqref="C9"/>
    </sheetView>
  </sheetViews>
  <sheetFormatPr defaultColWidth="10.796875" defaultRowHeight="15.6" x14ac:dyDescent="0.3"/>
  <cols>
    <col min="1" max="1" width="10.796875" style="23"/>
    <col min="2" max="2" width="8.5" style="23" customWidth="1"/>
    <col min="3" max="3" width="95.69921875" style="23" customWidth="1"/>
    <col min="4" max="4" width="9.5" style="23" customWidth="1"/>
    <col min="5" max="16384" width="10.796875" style="23"/>
  </cols>
  <sheetData>
    <row r="3" spans="2:4" ht="78" x14ac:dyDescent="0.3">
      <c r="B3" s="20"/>
      <c r="C3" s="21" t="s">
        <v>34</v>
      </c>
      <c r="D3" s="22"/>
    </row>
    <row r="4" spans="2:4" ht="42" customHeight="1" x14ac:dyDescent="0.3">
      <c r="B4" s="24"/>
      <c r="C4" s="25"/>
      <c r="D4" s="26"/>
    </row>
    <row r="5" spans="2:4" ht="31.95" customHeight="1" x14ac:dyDescent="0.3">
      <c r="B5" s="24"/>
      <c r="C5" s="25"/>
      <c r="D5" s="26"/>
    </row>
    <row r="6" spans="2:4" ht="10.95" customHeight="1" x14ac:dyDescent="0.3">
      <c r="B6" s="24"/>
      <c r="C6" s="27"/>
      <c r="D6" s="26"/>
    </row>
    <row r="7" spans="2:4" ht="21" x14ac:dyDescent="0.4">
      <c r="B7" s="24"/>
      <c r="C7" s="28" t="s">
        <v>27</v>
      </c>
      <c r="D7" s="26"/>
    </row>
    <row r="8" spans="2:4" ht="10.95" customHeight="1" x14ac:dyDescent="0.3">
      <c r="B8" s="24"/>
      <c r="C8" s="27"/>
      <c r="D8" s="26"/>
    </row>
    <row r="9" spans="2:4" s="32" customFormat="1" ht="25.8" x14ac:dyDescent="0.3">
      <c r="B9" s="29"/>
      <c r="C9" s="30" t="s">
        <v>28</v>
      </c>
      <c r="D9" s="31"/>
    </row>
    <row r="10" spans="2:4" x14ac:dyDescent="0.3">
      <c r="B10" s="24"/>
      <c r="C10" s="27"/>
      <c r="D10" s="26"/>
    </row>
    <row r="11" spans="2:4" ht="18" x14ac:dyDescent="0.35">
      <c r="B11" s="24"/>
      <c r="C11" s="39" t="s">
        <v>29</v>
      </c>
      <c r="D11" s="26"/>
    </row>
    <row r="12" spans="2:4" ht="6" customHeight="1" x14ac:dyDescent="0.3">
      <c r="B12" s="24"/>
      <c r="C12" s="27"/>
      <c r="D12" s="26"/>
    </row>
    <row r="13" spans="2:4" ht="18" x14ac:dyDescent="0.35">
      <c r="B13" s="24"/>
      <c r="C13" s="33" t="s">
        <v>30</v>
      </c>
      <c r="D13" s="26"/>
    </row>
    <row r="14" spans="2:4" ht="7.95" customHeight="1" x14ac:dyDescent="0.3">
      <c r="B14" s="24"/>
      <c r="C14" s="27"/>
      <c r="D14" s="26"/>
    </row>
    <row r="15" spans="2:4" x14ac:dyDescent="0.3">
      <c r="B15" s="24"/>
      <c r="C15" s="34" t="s">
        <v>31</v>
      </c>
      <c r="D15" s="26"/>
    </row>
    <row r="16" spans="2:4" x14ac:dyDescent="0.3">
      <c r="B16" s="24"/>
      <c r="C16" s="27" t="s">
        <v>32</v>
      </c>
      <c r="D16" s="26"/>
    </row>
    <row r="17" spans="2:4" ht="31.2" x14ac:dyDescent="0.3">
      <c r="B17" s="24"/>
      <c r="C17" s="35" t="s">
        <v>33</v>
      </c>
      <c r="D17" s="26"/>
    </row>
    <row r="18" spans="2:4" x14ac:dyDescent="0.3">
      <c r="B18" s="36"/>
      <c r="C18" s="37"/>
      <c r="D18" s="38"/>
    </row>
  </sheetData>
  <sheetProtection algorithmName="SHA-512" hashValue="MX1iv/1sCxo/6Io8aHDCqnbRc2bcCKmIkQ1Si8+LRQsVsKkKjl3Vj9S76i5Sk7tBwfhFEjtPNogTSxOGXE5THg==" saltValue="y6rg06dwfsmvnyeWpo+jSw==" spinCount="100000" sheet="1" objects="1" scenarios="1"/>
  <hyperlinks>
    <hyperlink ref="C13" r:id="rId1" display="Made by Kenji Explains" xr:uid="{02BCB06E-9398-A642-9825-C6E18F8A5DF5}"/>
    <hyperlink ref="C11" location="'Start File'!A1" display="Go to video file here" xr:uid="{844C20B1-23DC-2144-8076-79DBE1087BE7}"/>
    <hyperlink ref="C9" r:id="rId2" display="Get our Excel for Business &amp; Finance Course" xr:uid="{646AFF5A-3EB2-FA4D-929B-C9253E65324A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B065-09D6-D749-8F83-989EB7D0838E}">
  <dimension ref="B2:P58"/>
  <sheetViews>
    <sheetView tabSelected="1" topLeftCell="A15" zoomScaleNormal="100" workbookViewId="0">
      <selection activeCell="M22" sqref="M22"/>
    </sheetView>
  </sheetViews>
  <sheetFormatPr defaultColWidth="11.19921875" defaultRowHeight="15.6" x14ac:dyDescent="0.3"/>
  <cols>
    <col min="1" max="1" width="5.5" customWidth="1"/>
    <col min="2" max="2" width="15.296875" customWidth="1"/>
    <col min="3" max="14" width="9.69921875" customWidth="1"/>
  </cols>
  <sheetData>
    <row r="2" spans="2:14" ht="36.6" x14ac:dyDescent="0.7">
      <c r="B2" s="19" t="s">
        <v>26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2:14" x14ac:dyDescent="0.3">
      <c r="B4" s="1" t="s">
        <v>0</v>
      </c>
      <c r="C4" s="1"/>
    </row>
    <row r="5" spans="2:14" x14ac:dyDescent="0.3">
      <c r="B5" t="s">
        <v>1</v>
      </c>
      <c r="C5" s="14">
        <v>1000</v>
      </c>
    </row>
    <row r="6" spans="2:14" x14ac:dyDescent="0.3">
      <c r="B6" t="s">
        <v>2</v>
      </c>
      <c r="C6" s="4">
        <v>0.08</v>
      </c>
    </row>
    <row r="7" spans="2:14" x14ac:dyDescent="0.3">
      <c r="B7" t="s">
        <v>3</v>
      </c>
      <c r="C7" s="3">
        <v>50</v>
      </c>
    </row>
    <row r="8" spans="2:14" x14ac:dyDescent="0.3">
      <c r="B8" t="s">
        <v>4</v>
      </c>
      <c r="C8" s="3">
        <v>75</v>
      </c>
    </row>
    <row r="10" spans="2:14" x14ac:dyDescent="0.3">
      <c r="B10" s="1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5"/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2:14" x14ac:dyDescent="0.3">
      <c r="B12" s="10"/>
      <c r="C12" s="10">
        <v>1</v>
      </c>
      <c r="D12" s="10">
        <v>0.85</v>
      </c>
      <c r="E12" s="10">
        <v>0.78</v>
      </c>
      <c r="F12" s="10">
        <v>0.72</v>
      </c>
      <c r="G12" s="10">
        <v>0.68</v>
      </c>
      <c r="H12" s="10">
        <v>0.65</v>
      </c>
      <c r="I12" s="10">
        <v>0.62</v>
      </c>
      <c r="J12" s="10">
        <v>0.6</v>
      </c>
      <c r="K12" s="10">
        <v>0.57999999999999996</v>
      </c>
      <c r="L12" s="10">
        <v>0.56000000000000005</v>
      </c>
      <c r="M12" s="10">
        <v>0.55000000000000004</v>
      </c>
      <c r="N12" s="10">
        <v>0.54</v>
      </c>
    </row>
    <row r="14" spans="2:14" x14ac:dyDescent="0.3">
      <c r="B14" s="1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3">
      <c r="B15" s="5" t="s">
        <v>6</v>
      </c>
      <c r="C15" s="5" t="s">
        <v>7</v>
      </c>
      <c r="D15" s="5" t="s">
        <v>8</v>
      </c>
      <c r="E15" s="5" t="s">
        <v>9</v>
      </c>
      <c r="F15" s="5" t="s">
        <v>10</v>
      </c>
      <c r="G15" s="5" t="s">
        <v>11</v>
      </c>
      <c r="H15" s="5" t="s">
        <v>12</v>
      </c>
      <c r="I15" s="5" t="s">
        <v>13</v>
      </c>
      <c r="J15" s="5" t="s">
        <v>14</v>
      </c>
      <c r="K15" s="5" t="s">
        <v>15</v>
      </c>
      <c r="L15" s="5" t="s">
        <v>16</v>
      </c>
      <c r="M15" s="5" t="s">
        <v>17</v>
      </c>
      <c r="N15" s="5" t="s">
        <v>18</v>
      </c>
    </row>
    <row r="16" spans="2:14" x14ac:dyDescent="0.3">
      <c r="B16" s="6" t="s">
        <v>7</v>
      </c>
      <c r="C16" s="7">
        <f>C5</f>
        <v>1000</v>
      </c>
      <c r="D16" s="7">
        <f>$C16*D$12</f>
        <v>850</v>
      </c>
      <c r="E16" s="7">
        <f t="shared" ref="E16:N16" si="0">$C16*E$12</f>
        <v>780</v>
      </c>
      <c r="F16" s="7">
        <f t="shared" si="0"/>
        <v>720</v>
      </c>
      <c r="G16" s="7">
        <f t="shared" si="0"/>
        <v>680</v>
      </c>
      <c r="H16" s="7">
        <f t="shared" si="0"/>
        <v>650</v>
      </c>
      <c r="I16" s="7">
        <f t="shared" si="0"/>
        <v>620</v>
      </c>
      <c r="J16" s="7">
        <f t="shared" si="0"/>
        <v>600</v>
      </c>
      <c r="K16" s="7">
        <f t="shared" si="0"/>
        <v>580</v>
      </c>
      <c r="L16" s="7">
        <f t="shared" si="0"/>
        <v>560</v>
      </c>
      <c r="M16" s="7">
        <f t="shared" si="0"/>
        <v>550</v>
      </c>
      <c r="N16" s="7">
        <f t="shared" si="0"/>
        <v>540</v>
      </c>
    </row>
    <row r="17" spans="2:14" x14ac:dyDescent="0.3">
      <c r="B17" s="6" t="s">
        <v>8</v>
      </c>
      <c r="C17" s="7">
        <f>C16*(1+$C$6)</f>
        <v>1080</v>
      </c>
      <c r="D17" s="7">
        <f t="shared" ref="D17:N27" si="1">$C17*D$12</f>
        <v>918</v>
      </c>
      <c r="E17" s="7">
        <f t="shared" si="1"/>
        <v>842.4</v>
      </c>
      <c r="F17" s="7">
        <f t="shared" si="1"/>
        <v>777.6</v>
      </c>
      <c r="G17" s="7">
        <f t="shared" si="1"/>
        <v>734.40000000000009</v>
      </c>
      <c r="H17" s="7">
        <f t="shared" si="1"/>
        <v>702</v>
      </c>
      <c r="I17" s="7">
        <f t="shared" si="1"/>
        <v>669.6</v>
      </c>
      <c r="J17" s="7">
        <f t="shared" si="1"/>
        <v>648</v>
      </c>
      <c r="K17" s="7">
        <f t="shared" si="1"/>
        <v>626.4</v>
      </c>
      <c r="L17" s="7">
        <f t="shared" si="1"/>
        <v>604.80000000000007</v>
      </c>
      <c r="M17" s="7">
        <f t="shared" si="1"/>
        <v>594</v>
      </c>
      <c r="N17" s="7"/>
    </row>
    <row r="18" spans="2:14" x14ac:dyDescent="0.3">
      <c r="B18" s="6" t="s">
        <v>9</v>
      </c>
      <c r="C18" s="7">
        <f t="shared" ref="C18:C27" si="2">C17*(1+$C$6)</f>
        <v>1166.4000000000001</v>
      </c>
      <c r="D18" s="7">
        <f t="shared" si="1"/>
        <v>991.44</v>
      </c>
      <c r="E18" s="7">
        <f t="shared" si="1"/>
        <v>909.79200000000014</v>
      </c>
      <c r="F18" s="7">
        <f t="shared" si="1"/>
        <v>839.80799999999999</v>
      </c>
      <c r="G18" s="7">
        <f t="shared" si="1"/>
        <v>793.15200000000016</v>
      </c>
      <c r="H18" s="7">
        <f t="shared" si="1"/>
        <v>758.16000000000008</v>
      </c>
      <c r="I18" s="7">
        <f t="shared" si="1"/>
        <v>723.16800000000001</v>
      </c>
      <c r="J18" s="7">
        <f t="shared" si="1"/>
        <v>699.84</v>
      </c>
      <c r="K18" s="7">
        <f t="shared" si="1"/>
        <v>676.51200000000006</v>
      </c>
      <c r="L18" s="7">
        <f t="shared" si="1"/>
        <v>653.18400000000008</v>
      </c>
      <c r="M18" s="7"/>
      <c r="N18" s="7"/>
    </row>
    <row r="19" spans="2:14" x14ac:dyDescent="0.3">
      <c r="B19" s="6" t="s">
        <v>10</v>
      </c>
      <c r="C19" s="7">
        <f t="shared" si="2"/>
        <v>1259.7120000000002</v>
      </c>
      <c r="D19" s="7">
        <f t="shared" si="1"/>
        <v>1070.7552000000001</v>
      </c>
      <c r="E19" s="7">
        <f t="shared" si="1"/>
        <v>982.57536000000016</v>
      </c>
      <c r="F19" s="7">
        <f t="shared" si="1"/>
        <v>906.99264000000016</v>
      </c>
      <c r="G19" s="7">
        <f t="shared" si="1"/>
        <v>856.60416000000021</v>
      </c>
      <c r="H19" s="7">
        <f t="shared" si="1"/>
        <v>818.81280000000015</v>
      </c>
      <c r="I19" s="7">
        <f t="shared" si="1"/>
        <v>781.0214400000001</v>
      </c>
      <c r="J19" s="7">
        <f t="shared" si="1"/>
        <v>755.82720000000006</v>
      </c>
      <c r="K19" s="7">
        <f t="shared" si="1"/>
        <v>730.63296000000003</v>
      </c>
      <c r="L19" s="7"/>
      <c r="M19" s="7"/>
      <c r="N19" s="7"/>
    </row>
    <row r="20" spans="2:14" x14ac:dyDescent="0.3">
      <c r="B20" s="6" t="s">
        <v>11</v>
      </c>
      <c r="C20" s="7">
        <f t="shared" si="2"/>
        <v>1360.4889600000004</v>
      </c>
      <c r="D20" s="7">
        <f t="shared" si="1"/>
        <v>1156.4156160000002</v>
      </c>
      <c r="E20" s="7">
        <f t="shared" si="1"/>
        <v>1061.1813888000004</v>
      </c>
      <c r="F20" s="7">
        <f t="shared" si="1"/>
        <v>979.55205120000028</v>
      </c>
      <c r="G20" s="7">
        <f t="shared" si="1"/>
        <v>925.13249280000036</v>
      </c>
      <c r="H20" s="7">
        <f t="shared" si="1"/>
        <v>884.31782400000031</v>
      </c>
      <c r="I20" s="7">
        <f t="shared" si="1"/>
        <v>843.50315520000026</v>
      </c>
      <c r="J20" s="7">
        <f t="shared" si="1"/>
        <v>816.29337600000019</v>
      </c>
      <c r="K20" s="7"/>
      <c r="L20" s="7"/>
      <c r="M20" s="7"/>
      <c r="N20" s="7"/>
    </row>
    <row r="21" spans="2:14" x14ac:dyDescent="0.3">
      <c r="B21" s="6" t="s">
        <v>12</v>
      </c>
      <c r="C21" s="7">
        <f t="shared" si="2"/>
        <v>1469.3280768000004</v>
      </c>
      <c r="D21" s="7">
        <f t="shared" si="1"/>
        <v>1248.9288652800003</v>
      </c>
      <c r="E21" s="7">
        <f t="shared" si="1"/>
        <v>1146.0758999040004</v>
      </c>
      <c r="F21" s="7">
        <f t="shared" si="1"/>
        <v>1057.9162152960002</v>
      </c>
      <c r="G21" s="7">
        <f t="shared" si="1"/>
        <v>999.14309222400038</v>
      </c>
      <c r="H21" s="7">
        <f t="shared" si="1"/>
        <v>955.06324992000032</v>
      </c>
      <c r="I21" s="7">
        <f t="shared" si="1"/>
        <v>910.98340761600025</v>
      </c>
      <c r="J21" s="7"/>
      <c r="K21" s="7"/>
      <c r="L21" s="7"/>
      <c r="M21" s="7"/>
      <c r="N21" s="7"/>
    </row>
    <row r="22" spans="2:14" x14ac:dyDescent="0.3">
      <c r="B22" s="6" t="s">
        <v>13</v>
      </c>
      <c r="C22" s="7">
        <f t="shared" si="2"/>
        <v>1586.8743229440006</v>
      </c>
      <c r="D22" s="7">
        <f t="shared" si="1"/>
        <v>1348.8431745024004</v>
      </c>
      <c r="E22" s="7">
        <f t="shared" si="1"/>
        <v>1237.7619718963206</v>
      </c>
      <c r="F22" s="7">
        <f t="shared" si="1"/>
        <v>1142.5495125196803</v>
      </c>
      <c r="G22" s="7">
        <f t="shared" si="1"/>
        <v>1079.0745396019204</v>
      </c>
      <c r="H22" s="7">
        <f t="shared" si="1"/>
        <v>1031.4683099136005</v>
      </c>
      <c r="I22" s="7"/>
      <c r="J22" s="7"/>
      <c r="K22" s="7"/>
      <c r="L22" s="7"/>
      <c r="M22" s="7"/>
      <c r="N22" s="7"/>
    </row>
    <row r="23" spans="2:14" x14ac:dyDescent="0.3">
      <c r="B23" s="6" t="s">
        <v>14</v>
      </c>
      <c r="C23" s="7">
        <f t="shared" si="2"/>
        <v>1713.8242687795207</v>
      </c>
      <c r="D23" s="7">
        <f t="shared" si="1"/>
        <v>1456.7506284625927</v>
      </c>
      <c r="E23" s="7">
        <f t="shared" si="1"/>
        <v>1336.7829296480263</v>
      </c>
      <c r="F23" s="7">
        <f t="shared" si="1"/>
        <v>1233.9534735212549</v>
      </c>
      <c r="G23" s="7">
        <f t="shared" si="1"/>
        <v>1165.4005027700741</v>
      </c>
      <c r="H23" s="7"/>
      <c r="I23" s="7"/>
      <c r="J23" s="7"/>
      <c r="K23" s="7"/>
      <c r="L23" s="7"/>
      <c r="M23" s="7"/>
      <c r="N23" s="7"/>
    </row>
    <row r="24" spans="2:14" x14ac:dyDescent="0.3">
      <c r="B24" s="6" t="s">
        <v>15</v>
      </c>
      <c r="C24" s="7">
        <f t="shared" si="2"/>
        <v>1850.9302102818824</v>
      </c>
      <c r="D24" s="7">
        <f t="shared" si="1"/>
        <v>1573.2906787396</v>
      </c>
      <c r="E24" s="7">
        <f t="shared" si="1"/>
        <v>1443.7255640198682</v>
      </c>
      <c r="F24" s="7">
        <f t="shared" si="1"/>
        <v>1332.6697514029554</v>
      </c>
      <c r="G24" s="7"/>
      <c r="H24" s="7"/>
      <c r="I24" s="7"/>
      <c r="J24" s="7"/>
      <c r="K24" s="7"/>
      <c r="L24" s="7"/>
      <c r="M24" s="7"/>
      <c r="N24" s="7"/>
    </row>
    <row r="25" spans="2:14" x14ac:dyDescent="0.3">
      <c r="B25" s="6" t="s">
        <v>16</v>
      </c>
      <c r="C25" s="7">
        <f t="shared" si="2"/>
        <v>1999.0046271044332</v>
      </c>
      <c r="D25" s="7">
        <f t="shared" si="1"/>
        <v>1699.1539330387682</v>
      </c>
      <c r="E25" s="7">
        <f t="shared" si="1"/>
        <v>1559.2236091414579</v>
      </c>
      <c r="F25" s="7"/>
      <c r="G25" s="7"/>
      <c r="H25" s="7"/>
      <c r="I25" s="7"/>
      <c r="J25" s="7"/>
      <c r="K25" s="7"/>
      <c r="L25" s="7"/>
      <c r="M25" s="7"/>
      <c r="N25" s="7"/>
    </row>
    <row r="26" spans="2:14" x14ac:dyDescent="0.3">
      <c r="B26" s="6" t="s">
        <v>17</v>
      </c>
      <c r="C26" s="7">
        <f t="shared" si="2"/>
        <v>2158.924997272788</v>
      </c>
      <c r="D26" s="7">
        <f t="shared" si="1"/>
        <v>1835.0862476818697</v>
      </c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3">
      <c r="B27" s="6" t="s">
        <v>18</v>
      </c>
      <c r="C27" s="7">
        <f t="shared" si="2"/>
        <v>2331.6389970546111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4" x14ac:dyDescent="0.3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2:14" x14ac:dyDescent="0.3">
      <c r="B29" s="1" t="s">
        <v>19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2:14" x14ac:dyDescent="0.3">
      <c r="B30" s="5" t="s">
        <v>6</v>
      </c>
      <c r="C30" s="5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5" t="s">
        <v>15</v>
      </c>
      <c r="L30" s="5" t="s">
        <v>16</v>
      </c>
      <c r="M30" s="5" t="s">
        <v>17</v>
      </c>
      <c r="N30" s="5" t="s">
        <v>18</v>
      </c>
    </row>
    <row r="31" spans="2:14" x14ac:dyDescent="0.3">
      <c r="B31" s="6" t="s">
        <v>7</v>
      </c>
      <c r="C31" s="11">
        <f>$C$7*(C16)</f>
        <v>50000</v>
      </c>
      <c r="D31" s="11">
        <f t="shared" ref="D31:N31" si="3">$C$7*(D16)</f>
        <v>42500</v>
      </c>
      <c r="E31" s="11">
        <f t="shared" si="3"/>
        <v>39000</v>
      </c>
      <c r="F31" s="11">
        <f t="shared" si="3"/>
        <v>36000</v>
      </c>
      <c r="G31" s="11">
        <f t="shared" si="3"/>
        <v>34000</v>
      </c>
      <c r="H31" s="11">
        <f t="shared" si="3"/>
        <v>32500</v>
      </c>
      <c r="I31" s="11">
        <f t="shared" si="3"/>
        <v>31000</v>
      </c>
      <c r="J31" s="11">
        <f t="shared" si="3"/>
        <v>30000</v>
      </c>
      <c r="K31" s="11">
        <f t="shared" si="3"/>
        <v>29000</v>
      </c>
      <c r="L31" s="11">
        <f t="shared" si="3"/>
        <v>28000</v>
      </c>
      <c r="M31" s="11">
        <f t="shared" si="3"/>
        <v>27500</v>
      </c>
      <c r="N31" s="11">
        <f t="shared" si="3"/>
        <v>27000</v>
      </c>
    </row>
    <row r="32" spans="2:14" x14ac:dyDescent="0.3">
      <c r="B32" s="6" t="s">
        <v>8</v>
      </c>
      <c r="C32" s="11">
        <f t="shared" ref="C32:N42" si="4">$C$7*(C17)</f>
        <v>54000</v>
      </c>
      <c r="D32" s="11">
        <f t="shared" si="4"/>
        <v>45900</v>
      </c>
      <c r="E32" s="11">
        <f t="shared" si="4"/>
        <v>42120</v>
      </c>
      <c r="F32" s="11">
        <f t="shared" si="4"/>
        <v>38880</v>
      </c>
      <c r="G32" s="11">
        <f t="shared" si="4"/>
        <v>36720.000000000007</v>
      </c>
      <c r="H32" s="11">
        <f t="shared" si="4"/>
        <v>35100</v>
      </c>
      <c r="I32" s="11">
        <f t="shared" si="4"/>
        <v>33480</v>
      </c>
      <c r="J32" s="11">
        <f t="shared" si="4"/>
        <v>32400</v>
      </c>
      <c r="K32" s="11">
        <f t="shared" si="4"/>
        <v>31320</v>
      </c>
      <c r="L32" s="11">
        <f t="shared" si="4"/>
        <v>30240.000000000004</v>
      </c>
      <c r="M32" s="11">
        <f t="shared" si="4"/>
        <v>29700</v>
      </c>
      <c r="N32" s="11"/>
    </row>
    <row r="33" spans="2:16" x14ac:dyDescent="0.3">
      <c r="B33" s="6" t="s">
        <v>9</v>
      </c>
      <c r="C33" s="11">
        <f t="shared" si="4"/>
        <v>58320.000000000007</v>
      </c>
      <c r="D33" s="11">
        <f t="shared" si="4"/>
        <v>49572</v>
      </c>
      <c r="E33" s="11">
        <f t="shared" si="4"/>
        <v>45489.600000000006</v>
      </c>
      <c r="F33" s="11">
        <f t="shared" si="4"/>
        <v>41990.400000000001</v>
      </c>
      <c r="G33" s="11">
        <f t="shared" si="4"/>
        <v>39657.600000000006</v>
      </c>
      <c r="H33" s="11">
        <f t="shared" si="4"/>
        <v>37908.000000000007</v>
      </c>
      <c r="I33" s="11">
        <f t="shared" si="4"/>
        <v>36158.400000000001</v>
      </c>
      <c r="J33" s="11">
        <f t="shared" si="4"/>
        <v>34992</v>
      </c>
      <c r="K33" s="11">
        <f t="shared" si="4"/>
        <v>33825.600000000006</v>
      </c>
      <c r="L33" s="11">
        <f t="shared" si="4"/>
        <v>32659.200000000004</v>
      </c>
      <c r="M33" s="11"/>
      <c r="N33" s="11"/>
    </row>
    <row r="34" spans="2:16" x14ac:dyDescent="0.3">
      <c r="B34" s="6" t="s">
        <v>10</v>
      </c>
      <c r="C34" s="11">
        <f t="shared" si="4"/>
        <v>62985.600000000013</v>
      </c>
      <c r="D34" s="11">
        <f t="shared" si="4"/>
        <v>53537.760000000002</v>
      </c>
      <c r="E34" s="11">
        <f t="shared" si="4"/>
        <v>49128.768000000011</v>
      </c>
      <c r="F34" s="11">
        <f t="shared" si="4"/>
        <v>45349.632000000005</v>
      </c>
      <c r="G34" s="11">
        <f t="shared" si="4"/>
        <v>42830.208000000013</v>
      </c>
      <c r="H34" s="11">
        <f t="shared" si="4"/>
        <v>40940.640000000007</v>
      </c>
      <c r="I34" s="11">
        <f t="shared" si="4"/>
        <v>39051.072000000007</v>
      </c>
      <c r="J34" s="11">
        <f t="shared" si="4"/>
        <v>37791.360000000001</v>
      </c>
      <c r="K34" s="11">
        <f t="shared" si="4"/>
        <v>36531.648000000001</v>
      </c>
      <c r="L34" s="11"/>
      <c r="M34" s="11"/>
      <c r="N34" s="11"/>
      <c r="P34" s="40">
        <f>SUM(C31:N31)</f>
        <v>406500</v>
      </c>
    </row>
    <row r="35" spans="2:16" x14ac:dyDescent="0.3">
      <c r="B35" s="6" t="s">
        <v>11</v>
      </c>
      <c r="C35" s="11">
        <f t="shared" si="4"/>
        <v>68024.448000000019</v>
      </c>
      <c r="D35" s="11">
        <f t="shared" si="4"/>
        <v>57820.780800000008</v>
      </c>
      <c r="E35" s="11">
        <f t="shared" si="4"/>
        <v>53059.069440000021</v>
      </c>
      <c r="F35" s="11">
        <f t="shared" si="4"/>
        <v>48977.602560000014</v>
      </c>
      <c r="G35" s="11">
        <f t="shared" si="4"/>
        <v>46256.624640000016</v>
      </c>
      <c r="H35" s="11">
        <f t="shared" si="4"/>
        <v>44215.891200000013</v>
      </c>
      <c r="I35" s="11">
        <f t="shared" si="4"/>
        <v>42175.157760000016</v>
      </c>
      <c r="J35" s="11">
        <f t="shared" si="4"/>
        <v>40814.668800000007</v>
      </c>
      <c r="K35" s="11"/>
      <c r="L35" s="11"/>
      <c r="M35" s="11"/>
      <c r="N35" s="11"/>
    </row>
    <row r="36" spans="2:16" x14ac:dyDescent="0.3">
      <c r="B36" s="6" t="s">
        <v>12</v>
      </c>
      <c r="C36" s="11">
        <f t="shared" si="4"/>
        <v>73466.403840000014</v>
      </c>
      <c r="D36" s="11">
        <f t="shared" si="4"/>
        <v>62446.443264000016</v>
      </c>
      <c r="E36" s="11">
        <f t="shared" si="4"/>
        <v>57303.79499520002</v>
      </c>
      <c r="F36" s="11">
        <f t="shared" si="4"/>
        <v>52895.810764800015</v>
      </c>
      <c r="G36" s="11">
        <f t="shared" si="4"/>
        <v>49957.154611200021</v>
      </c>
      <c r="H36" s="11">
        <f t="shared" si="4"/>
        <v>47753.162496000019</v>
      </c>
      <c r="I36" s="11">
        <f t="shared" si="4"/>
        <v>45549.170380800009</v>
      </c>
      <c r="J36" s="11"/>
      <c r="K36" s="11"/>
      <c r="L36" s="11"/>
      <c r="M36" s="11"/>
      <c r="N36" s="11"/>
    </row>
    <row r="37" spans="2:16" x14ac:dyDescent="0.3">
      <c r="B37" s="6" t="s">
        <v>13</v>
      </c>
      <c r="C37" s="11">
        <f t="shared" si="4"/>
        <v>79343.71614720003</v>
      </c>
      <c r="D37" s="11">
        <f t="shared" si="4"/>
        <v>67442.158725120025</v>
      </c>
      <c r="E37" s="11">
        <f t="shared" si="4"/>
        <v>61888.098594816031</v>
      </c>
      <c r="F37" s="11">
        <f t="shared" si="4"/>
        <v>57127.475625984014</v>
      </c>
      <c r="G37" s="11">
        <f t="shared" si="4"/>
        <v>53953.72698009602</v>
      </c>
      <c r="H37" s="11">
        <f t="shared" si="4"/>
        <v>51573.415495680027</v>
      </c>
      <c r="I37" s="11"/>
      <c r="J37" s="11"/>
      <c r="K37" s="11"/>
      <c r="L37" s="11"/>
      <c r="M37" s="11"/>
      <c r="N37" s="11"/>
    </row>
    <row r="38" spans="2:16" x14ac:dyDescent="0.3">
      <c r="B38" s="6" t="s">
        <v>14</v>
      </c>
      <c r="C38" s="11">
        <f t="shared" si="4"/>
        <v>85691.213438976032</v>
      </c>
      <c r="D38" s="11">
        <f t="shared" si="4"/>
        <v>72837.531423129636</v>
      </c>
      <c r="E38" s="11">
        <f t="shared" si="4"/>
        <v>66839.146482401309</v>
      </c>
      <c r="F38" s="11">
        <f t="shared" si="4"/>
        <v>61697.673676062746</v>
      </c>
      <c r="G38" s="11">
        <f t="shared" si="4"/>
        <v>58270.025138503705</v>
      </c>
      <c r="H38" s="11"/>
      <c r="I38" s="11"/>
      <c r="J38" s="11"/>
      <c r="K38" s="11"/>
      <c r="L38" s="11"/>
      <c r="M38" s="11"/>
      <c r="N38" s="11"/>
    </row>
    <row r="39" spans="2:16" x14ac:dyDescent="0.3">
      <c r="B39" s="6" t="s">
        <v>15</v>
      </c>
      <c r="C39" s="11">
        <f t="shared" si="4"/>
        <v>92546.510514094116</v>
      </c>
      <c r="D39" s="11">
        <f t="shared" si="4"/>
        <v>78664.533936980006</v>
      </c>
      <c r="E39" s="11">
        <f t="shared" si="4"/>
        <v>72186.278200993416</v>
      </c>
      <c r="F39" s="11">
        <f t="shared" si="4"/>
        <v>66633.487570147772</v>
      </c>
      <c r="G39" s="11"/>
      <c r="H39" s="11"/>
      <c r="I39" s="11"/>
      <c r="J39" s="11"/>
      <c r="K39" s="11"/>
      <c r="L39" s="11"/>
      <c r="M39" s="11"/>
      <c r="N39" s="11"/>
    </row>
    <row r="40" spans="2:16" x14ac:dyDescent="0.3">
      <c r="B40" s="6" t="s">
        <v>16</v>
      </c>
      <c r="C40" s="11">
        <f t="shared" si="4"/>
        <v>99950.231355221666</v>
      </c>
      <c r="D40" s="11">
        <f t="shared" si="4"/>
        <v>84957.696651938415</v>
      </c>
      <c r="E40" s="11">
        <f t="shared" si="4"/>
        <v>77961.1804570729</v>
      </c>
      <c r="F40" s="11"/>
      <c r="G40" s="11"/>
      <c r="H40" s="11"/>
      <c r="I40" s="11"/>
      <c r="J40" s="11"/>
      <c r="K40" s="11"/>
      <c r="L40" s="11"/>
      <c r="M40" s="11"/>
      <c r="N40" s="11"/>
    </row>
    <row r="41" spans="2:16" x14ac:dyDescent="0.3">
      <c r="B41" s="6" t="s">
        <v>17</v>
      </c>
      <c r="C41" s="11">
        <f t="shared" si="4"/>
        <v>107946.2498636394</v>
      </c>
      <c r="D41" s="11">
        <f t="shared" si="4"/>
        <v>91754.312384093486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6" x14ac:dyDescent="0.3">
      <c r="B42" s="6" t="s">
        <v>18</v>
      </c>
      <c r="C42" s="11">
        <f t="shared" si="4"/>
        <v>116581.94985273055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2:16" x14ac:dyDescent="0.3">
      <c r="C43" s="8"/>
      <c r="D43" s="8"/>
      <c r="E43" s="8"/>
      <c r="F43" s="8"/>
      <c r="G43" s="8"/>
      <c r="H43" s="8"/>
      <c r="I43" s="11"/>
      <c r="J43" s="11"/>
      <c r="K43" s="11"/>
      <c r="L43" s="11"/>
      <c r="M43" s="8"/>
      <c r="N43" s="8"/>
    </row>
    <row r="44" spans="2:16" x14ac:dyDescent="0.3">
      <c r="B44" s="1" t="s">
        <v>20</v>
      </c>
      <c r="C44" s="9"/>
      <c r="D44" s="9"/>
      <c r="E44" s="9"/>
      <c r="F44" s="9"/>
      <c r="G44" s="9"/>
      <c r="H44" s="8"/>
      <c r="I44" s="11"/>
      <c r="J44" s="11"/>
      <c r="K44" s="11"/>
      <c r="L44" s="11"/>
      <c r="M44" s="8"/>
      <c r="N44" s="8"/>
    </row>
    <row r="45" spans="2:16" ht="46.8" x14ac:dyDescent="0.3">
      <c r="B45" s="5" t="s">
        <v>6</v>
      </c>
      <c r="C45" s="15" t="s">
        <v>22</v>
      </c>
      <c r="D45" s="15" t="s">
        <v>23</v>
      </c>
      <c r="E45" s="5" t="s">
        <v>4</v>
      </c>
      <c r="F45" s="15" t="s">
        <v>24</v>
      </c>
      <c r="G45" s="15" t="s">
        <v>35</v>
      </c>
      <c r="H45" s="8"/>
      <c r="I45" s="11"/>
      <c r="J45" s="11"/>
      <c r="K45" s="11"/>
      <c r="L45" s="11"/>
      <c r="M45" s="8"/>
      <c r="N45" s="8"/>
    </row>
    <row r="46" spans="2:16" x14ac:dyDescent="0.3">
      <c r="B46" s="6" t="s">
        <v>7</v>
      </c>
      <c r="C46" s="11">
        <f>SUM(C31:N31)</f>
        <v>406500</v>
      </c>
      <c r="D46" s="12">
        <f>C46/C16</f>
        <v>406.5</v>
      </c>
      <c r="E46">
        <f>$C$8</f>
        <v>75</v>
      </c>
      <c r="F46" s="12">
        <f>D46-E46</f>
        <v>331.5</v>
      </c>
      <c r="G46" s="12">
        <f>D46/E46</f>
        <v>5.42</v>
      </c>
      <c r="H46" s="8"/>
      <c r="I46" s="11"/>
      <c r="J46" s="11"/>
      <c r="K46" s="11"/>
      <c r="L46" s="11"/>
      <c r="M46" s="8"/>
      <c r="N46" s="8"/>
    </row>
    <row r="47" spans="2:16" x14ac:dyDescent="0.3">
      <c r="B47" s="6" t="s">
        <v>8</v>
      </c>
      <c r="C47" s="11">
        <f t="shared" ref="C47:C57" si="5">SUM(C32:N32)</f>
        <v>409860</v>
      </c>
      <c r="D47" s="12">
        <f t="shared" ref="D47:D57" si="6">C47/C17</f>
        <v>379.5</v>
      </c>
      <c r="E47">
        <f t="shared" ref="E47:E57" si="7">$C$8</f>
        <v>75</v>
      </c>
      <c r="F47" s="12">
        <f t="shared" ref="F47:F57" si="8">D47-E47</f>
        <v>304.5</v>
      </c>
      <c r="G47" s="12">
        <f t="shared" ref="G47:G57" si="9">D47/E47</f>
        <v>5.0599999999999996</v>
      </c>
      <c r="H47" s="8"/>
      <c r="I47" s="11"/>
      <c r="J47" s="11"/>
      <c r="K47" s="11"/>
      <c r="L47" s="11"/>
      <c r="M47" s="8"/>
      <c r="N47" s="8"/>
    </row>
    <row r="48" spans="2:16" x14ac:dyDescent="0.3">
      <c r="B48" s="6" t="s">
        <v>9</v>
      </c>
      <c r="C48" s="11">
        <f t="shared" si="5"/>
        <v>410572.8000000001</v>
      </c>
      <c r="D48" s="12">
        <f t="shared" si="6"/>
        <v>352.00000000000006</v>
      </c>
      <c r="E48">
        <f t="shared" si="7"/>
        <v>75</v>
      </c>
      <c r="F48" s="12">
        <f t="shared" si="8"/>
        <v>277.00000000000006</v>
      </c>
      <c r="G48" s="12">
        <f t="shared" si="9"/>
        <v>4.6933333333333342</v>
      </c>
      <c r="H48" s="8"/>
      <c r="I48" s="11"/>
      <c r="J48" s="11"/>
      <c r="K48" s="11"/>
      <c r="L48" s="11"/>
      <c r="M48" s="8"/>
      <c r="N48" s="8"/>
    </row>
    <row r="49" spans="2:14" x14ac:dyDescent="0.3">
      <c r="B49" s="6" t="s">
        <v>10</v>
      </c>
      <c r="C49" s="11">
        <f t="shared" si="5"/>
        <v>408146.68800000002</v>
      </c>
      <c r="D49" s="12">
        <f t="shared" si="6"/>
        <v>323.99999999999994</v>
      </c>
      <c r="E49">
        <f t="shared" si="7"/>
        <v>75</v>
      </c>
      <c r="F49" s="12">
        <f t="shared" si="8"/>
        <v>248.99999999999994</v>
      </c>
      <c r="G49" s="12">
        <f t="shared" si="9"/>
        <v>4.3199999999999994</v>
      </c>
      <c r="H49" s="8"/>
      <c r="I49" s="11"/>
      <c r="J49" s="11"/>
      <c r="K49" s="11"/>
      <c r="L49" s="11"/>
      <c r="M49" s="8"/>
      <c r="N49" s="8"/>
    </row>
    <row r="50" spans="2:14" x14ac:dyDescent="0.3">
      <c r="B50" s="6" t="s">
        <v>11</v>
      </c>
      <c r="C50" s="11">
        <f t="shared" si="5"/>
        <v>401344.24320000008</v>
      </c>
      <c r="D50" s="12">
        <f t="shared" si="6"/>
        <v>295</v>
      </c>
      <c r="E50">
        <f t="shared" si="7"/>
        <v>75</v>
      </c>
      <c r="F50" s="12">
        <f t="shared" si="8"/>
        <v>220</v>
      </c>
      <c r="G50" s="12">
        <f t="shared" si="9"/>
        <v>3.9333333333333331</v>
      </c>
      <c r="H50" s="8"/>
      <c r="I50" s="11"/>
      <c r="J50" s="11"/>
      <c r="K50" s="11"/>
      <c r="L50" s="11"/>
      <c r="M50" s="8"/>
      <c r="N50" s="8"/>
    </row>
    <row r="51" spans="2:14" x14ac:dyDescent="0.3">
      <c r="B51" s="6" t="s">
        <v>12</v>
      </c>
      <c r="C51" s="11">
        <f t="shared" si="5"/>
        <v>389371.94035200012</v>
      </c>
      <c r="D51" s="12">
        <f t="shared" si="6"/>
        <v>265</v>
      </c>
      <c r="E51">
        <f t="shared" si="7"/>
        <v>75</v>
      </c>
      <c r="F51" s="12">
        <f t="shared" si="8"/>
        <v>190</v>
      </c>
      <c r="G51" s="12">
        <f t="shared" si="9"/>
        <v>3.5333333333333332</v>
      </c>
      <c r="H51" s="8"/>
      <c r="I51" s="11"/>
      <c r="J51" s="11"/>
      <c r="K51" s="11"/>
      <c r="L51" s="11"/>
      <c r="M51" s="8"/>
      <c r="N51" s="8"/>
    </row>
    <row r="52" spans="2:14" x14ac:dyDescent="0.3">
      <c r="B52" s="6" t="s">
        <v>13</v>
      </c>
      <c r="C52" s="11">
        <f t="shared" si="5"/>
        <v>371328.59156889608</v>
      </c>
      <c r="D52" s="12">
        <f t="shared" si="6"/>
        <v>233.99999999999997</v>
      </c>
      <c r="E52">
        <f t="shared" si="7"/>
        <v>75</v>
      </c>
      <c r="F52" s="12">
        <f t="shared" si="8"/>
        <v>158.99999999999997</v>
      </c>
      <c r="G52" s="12">
        <f t="shared" si="9"/>
        <v>3.1199999999999997</v>
      </c>
      <c r="H52" s="8"/>
      <c r="I52" s="11"/>
      <c r="J52" s="11"/>
      <c r="K52" s="11"/>
      <c r="L52" s="11"/>
      <c r="M52" s="8"/>
      <c r="N52" s="8"/>
    </row>
    <row r="53" spans="2:14" x14ac:dyDescent="0.3">
      <c r="B53" s="6" t="s">
        <v>14</v>
      </c>
      <c r="C53" s="11">
        <f t="shared" si="5"/>
        <v>345335.59015907341</v>
      </c>
      <c r="D53" s="12">
        <f t="shared" si="6"/>
        <v>201.5</v>
      </c>
      <c r="E53">
        <f t="shared" si="7"/>
        <v>75</v>
      </c>
      <c r="F53" s="12">
        <f t="shared" si="8"/>
        <v>126.5</v>
      </c>
      <c r="G53" s="12">
        <f t="shared" si="9"/>
        <v>2.6866666666666665</v>
      </c>
      <c r="H53" s="8"/>
      <c r="I53" s="11"/>
      <c r="J53" s="11"/>
      <c r="K53" s="11"/>
      <c r="L53" s="11"/>
      <c r="M53" s="8"/>
      <c r="N53" s="8"/>
    </row>
    <row r="54" spans="2:14" x14ac:dyDescent="0.3">
      <c r="B54" s="6" t="s">
        <v>15</v>
      </c>
      <c r="C54" s="11">
        <f t="shared" si="5"/>
        <v>310030.81022221531</v>
      </c>
      <c r="D54" s="12">
        <f t="shared" si="6"/>
        <v>167.5</v>
      </c>
      <c r="E54">
        <f t="shared" si="7"/>
        <v>75</v>
      </c>
      <c r="F54" s="12">
        <f t="shared" si="8"/>
        <v>92.5</v>
      </c>
      <c r="G54" s="12">
        <f t="shared" si="9"/>
        <v>2.2333333333333334</v>
      </c>
      <c r="H54" s="8"/>
      <c r="I54" s="11"/>
      <c r="J54" s="11"/>
      <c r="K54" s="11"/>
      <c r="L54" s="11"/>
      <c r="M54" s="8"/>
      <c r="N54" s="8"/>
    </row>
    <row r="55" spans="2:14" x14ac:dyDescent="0.3">
      <c r="B55" s="6" t="s">
        <v>16</v>
      </c>
      <c r="C55" s="11">
        <f t="shared" si="5"/>
        <v>262869.108464233</v>
      </c>
      <c r="D55" s="12">
        <f t="shared" si="6"/>
        <v>131.5</v>
      </c>
      <c r="E55">
        <f t="shared" si="7"/>
        <v>75</v>
      </c>
      <c r="F55" s="12">
        <f t="shared" si="8"/>
        <v>56.5</v>
      </c>
      <c r="G55" s="12">
        <f t="shared" si="9"/>
        <v>1.7533333333333334</v>
      </c>
      <c r="H55" s="8"/>
      <c r="I55" s="11"/>
      <c r="J55" s="11"/>
      <c r="K55" s="11"/>
      <c r="L55" s="11"/>
      <c r="M55" s="8"/>
      <c r="N55" s="8"/>
    </row>
    <row r="56" spans="2:14" x14ac:dyDescent="0.3">
      <c r="B56" s="6" t="s">
        <v>17</v>
      </c>
      <c r="C56" s="11">
        <f t="shared" si="5"/>
        <v>199700.56224773289</v>
      </c>
      <c r="D56" s="12">
        <f t="shared" si="6"/>
        <v>92.5</v>
      </c>
      <c r="E56">
        <f t="shared" si="7"/>
        <v>75</v>
      </c>
      <c r="F56" s="12">
        <f t="shared" si="8"/>
        <v>17.5</v>
      </c>
      <c r="G56" s="12">
        <f t="shared" si="9"/>
        <v>1.2333333333333334</v>
      </c>
      <c r="H56" s="8"/>
      <c r="I56" s="11"/>
      <c r="J56" s="11"/>
      <c r="K56" s="11"/>
      <c r="L56" s="11"/>
      <c r="M56" s="8"/>
      <c r="N56" s="8"/>
    </row>
    <row r="57" spans="2:14" x14ac:dyDescent="0.3">
      <c r="B57" s="6" t="s">
        <v>18</v>
      </c>
      <c r="C57" s="11">
        <f t="shared" si="5"/>
        <v>116581.94985273055</v>
      </c>
      <c r="D57" s="12">
        <f t="shared" si="6"/>
        <v>50</v>
      </c>
      <c r="E57">
        <f t="shared" si="7"/>
        <v>75</v>
      </c>
      <c r="F57" s="12">
        <f t="shared" si="8"/>
        <v>-25</v>
      </c>
      <c r="G57" s="12">
        <f t="shared" si="9"/>
        <v>0.66666666666666663</v>
      </c>
      <c r="H57" s="8"/>
      <c r="I57" s="11"/>
      <c r="J57" s="11"/>
      <c r="K57" s="11"/>
      <c r="L57" s="11"/>
      <c r="M57" s="8"/>
      <c r="N57" s="8"/>
    </row>
    <row r="58" spans="2:14" x14ac:dyDescent="0.3">
      <c r="C58" s="11"/>
      <c r="I58" s="11"/>
      <c r="J58" s="11"/>
      <c r="K58" s="11"/>
      <c r="L58" s="11"/>
    </row>
  </sheetData>
  <conditionalFormatting sqref="C16:N16">
    <cfRule type="colorScale" priority="3">
      <colorScale>
        <cfvo type="min"/>
        <cfvo type="max"/>
        <color rgb="FFFCFCFF"/>
        <color rgb="FF63BE7B"/>
      </colorScale>
    </cfRule>
  </conditionalFormatting>
  <conditionalFormatting sqref="C16:N27">
    <cfRule type="colorScale" priority="2">
      <colorScale>
        <cfvo type="min"/>
        <cfvo type="max"/>
        <color rgb="FFFCFCFF"/>
        <color rgb="FF63BE7B"/>
      </colorScale>
    </cfRule>
  </conditionalFormatting>
  <conditionalFormatting sqref="C31:N42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FDFB-1AB2-4545-B3A5-F8D9ABF30535}">
  <dimension ref="B2:N59"/>
  <sheetViews>
    <sheetView zoomScaleNormal="100" workbookViewId="0"/>
  </sheetViews>
  <sheetFormatPr defaultColWidth="11.19921875" defaultRowHeight="15.6" x14ac:dyDescent="0.3"/>
  <cols>
    <col min="1" max="1" width="5.5" customWidth="1"/>
    <col min="2" max="2" width="15.296875" customWidth="1"/>
    <col min="3" max="14" width="9.69921875" customWidth="1"/>
  </cols>
  <sheetData>
    <row r="2" spans="2:14" ht="36.6" x14ac:dyDescent="0.7">
      <c r="B2" s="19" t="s">
        <v>26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2:14" x14ac:dyDescent="0.3">
      <c r="B4" s="1" t="s">
        <v>0</v>
      </c>
      <c r="C4" s="1"/>
    </row>
    <row r="5" spans="2:14" x14ac:dyDescent="0.3">
      <c r="B5" t="s">
        <v>1</v>
      </c>
      <c r="C5" s="14">
        <v>1000</v>
      </c>
    </row>
    <row r="6" spans="2:14" x14ac:dyDescent="0.3">
      <c r="B6" t="s">
        <v>2</v>
      </c>
      <c r="C6" s="4">
        <v>0.08</v>
      </c>
    </row>
    <row r="7" spans="2:14" x14ac:dyDescent="0.3">
      <c r="B7" t="s">
        <v>3</v>
      </c>
      <c r="C7" s="3">
        <v>50</v>
      </c>
    </row>
    <row r="8" spans="2:14" x14ac:dyDescent="0.3">
      <c r="B8" t="s">
        <v>4</v>
      </c>
      <c r="C8" s="3">
        <v>75</v>
      </c>
    </row>
    <row r="10" spans="2:14" x14ac:dyDescent="0.3">
      <c r="B10" s="1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5"/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2:14" x14ac:dyDescent="0.3">
      <c r="B12" s="10"/>
      <c r="C12" s="10">
        <v>1</v>
      </c>
      <c r="D12" s="10">
        <v>0.85</v>
      </c>
      <c r="E12" s="10">
        <v>0.78</v>
      </c>
      <c r="F12" s="10">
        <v>0.72</v>
      </c>
      <c r="G12" s="10">
        <v>0.68</v>
      </c>
      <c r="H12" s="10">
        <v>0.65</v>
      </c>
      <c r="I12" s="10">
        <v>0.62</v>
      </c>
      <c r="J12" s="10">
        <v>0.6</v>
      </c>
      <c r="K12" s="10">
        <v>0.57999999999999996</v>
      </c>
      <c r="L12" s="10">
        <v>0.56000000000000005</v>
      </c>
      <c r="M12" s="10">
        <v>0.55000000000000004</v>
      </c>
      <c r="N12" s="10">
        <v>0.54</v>
      </c>
    </row>
    <row r="14" spans="2:14" x14ac:dyDescent="0.3">
      <c r="B14" s="1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3">
      <c r="B15" s="5" t="s">
        <v>6</v>
      </c>
      <c r="C15" s="5" t="s">
        <v>7</v>
      </c>
      <c r="D15" s="5" t="s">
        <v>8</v>
      </c>
      <c r="E15" s="5" t="s">
        <v>9</v>
      </c>
      <c r="F15" s="5" t="s">
        <v>10</v>
      </c>
      <c r="G15" s="5" t="s">
        <v>11</v>
      </c>
      <c r="H15" s="5" t="s">
        <v>12</v>
      </c>
      <c r="I15" s="5" t="s">
        <v>13</v>
      </c>
      <c r="J15" s="5" t="s">
        <v>14</v>
      </c>
      <c r="K15" s="5" t="s">
        <v>15</v>
      </c>
      <c r="L15" s="5" t="s">
        <v>16</v>
      </c>
      <c r="M15" s="5" t="s">
        <v>17</v>
      </c>
      <c r="N15" s="5" t="s">
        <v>18</v>
      </c>
    </row>
    <row r="16" spans="2:14" x14ac:dyDescent="0.3">
      <c r="B16" s="6" t="s">
        <v>7</v>
      </c>
      <c r="C16" s="7">
        <f>$C$5*C12</f>
        <v>1000</v>
      </c>
      <c r="D16" s="7">
        <f t="shared" ref="D16:N16" si="0">$C16*D$12</f>
        <v>850</v>
      </c>
      <c r="E16" s="7">
        <f t="shared" si="0"/>
        <v>780</v>
      </c>
      <c r="F16" s="7">
        <f t="shared" si="0"/>
        <v>720</v>
      </c>
      <c r="G16" s="7">
        <f t="shared" si="0"/>
        <v>680</v>
      </c>
      <c r="H16" s="7">
        <f t="shared" si="0"/>
        <v>650</v>
      </c>
      <c r="I16" s="7">
        <f t="shared" si="0"/>
        <v>620</v>
      </c>
      <c r="J16" s="7">
        <f t="shared" si="0"/>
        <v>600</v>
      </c>
      <c r="K16" s="7">
        <f t="shared" si="0"/>
        <v>580</v>
      </c>
      <c r="L16" s="7">
        <f t="shared" si="0"/>
        <v>560</v>
      </c>
      <c r="M16" s="7">
        <f t="shared" si="0"/>
        <v>550</v>
      </c>
      <c r="N16" s="7">
        <f t="shared" si="0"/>
        <v>540</v>
      </c>
    </row>
    <row r="17" spans="2:14" x14ac:dyDescent="0.3">
      <c r="B17" s="6" t="s">
        <v>8</v>
      </c>
      <c r="C17" s="7">
        <f t="shared" ref="C17:C27" si="1">C16*(1+$C$6)</f>
        <v>1080</v>
      </c>
      <c r="D17" s="7">
        <f t="shared" ref="D17:M17" si="2">$C17*D$12</f>
        <v>918</v>
      </c>
      <c r="E17" s="7">
        <f t="shared" si="2"/>
        <v>842.4</v>
      </c>
      <c r="F17" s="7">
        <f t="shared" si="2"/>
        <v>777.6</v>
      </c>
      <c r="G17" s="7">
        <f t="shared" si="2"/>
        <v>734.40000000000009</v>
      </c>
      <c r="H17" s="7">
        <f t="shared" si="2"/>
        <v>702</v>
      </c>
      <c r="I17" s="7">
        <f t="shared" si="2"/>
        <v>669.6</v>
      </c>
      <c r="J17" s="7">
        <f t="shared" si="2"/>
        <v>648</v>
      </c>
      <c r="K17" s="7">
        <f t="shared" si="2"/>
        <v>626.4</v>
      </c>
      <c r="L17" s="7">
        <f t="shared" si="2"/>
        <v>604.80000000000007</v>
      </c>
      <c r="M17" s="7">
        <f t="shared" si="2"/>
        <v>594</v>
      </c>
      <c r="N17" s="7"/>
    </row>
    <row r="18" spans="2:14" x14ac:dyDescent="0.3">
      <c r="B18" s="6" t="s">
        <v>9</v>
      </c>
      <c r="C18" s="7">
        <f t="shared" si="1"/>
        <v>1166.4000000000001</v>
      </c>
      <c r="D18" s="7">
        <f t="shared" ref="D18:L18" si="3">$C18*D$12</f>
        <v>991.44</v>
      </c>
      <c r="E18" s="7">
        <f t="shared" si="3"/>
        <v>909.79200000000014</v>
      </c>
      <c r="F18" s="7">
        <f t="shared" si="3"/>
        <v>839.80799999999999</v>
      </c>
      <c r="G18" s="7">
        <f t="shared" si="3"/>
        <v>793.15200000000016</v>
      </c>
      <c r="H18" s="7">
        <f t="shared" si="3"/>
        <v>758.16000000000008</v>
      </c>
      <c r="I18" s="7">
        <f t="shared" si="3"/>
        <v>723.16800000000001</v>
      </c>
      <c r="J18" s="7">
        <f t="shared" si="3"/>
        <v>699.84</v>
      </c>
      <c r="K18" s="7">
        <f t="shared" si="3"/>
        <v>676.51200000000006</v>
      </c>
      <c r="L18" s="7">
        <f t="shared" si="3"/>
        <v>653.18400000000008</v>
      </c>
      <c r="M18" s="7"/>
      <c r="N18" s="7"/>
    </row>
    <row r="19" spans="2:14" x14ac:dyDescent="0.3">
      <c r="B19" s="6" t="s">
        <v>10</v>
      </c>
      <c r="C19" s="7">
        <f t="shared" si="1"/>
        <v>1259.7120000000002</v>
      </c>
      <c r="D19" s="7">
        <f t="shared" ref="D19:K19" si="4">$C19*D$12</f>
        <v>1070.7552000000001</v>
      </c>
      <c r="E19" s="7">
        <f t="shared" si="4"/>
        <v>982.57536000000016</v>
      </c>
      <c r="F19" s="7">
        <f t="shared" si="4"/>
        <v>906.99264000000016</v>
      </c>
      <c r="G19" s="7">
        <f t="shared" si="4"/>
        <v>856.60416000000021</v>
      </c>
      <c r="H19" s="7">
        <f t="shared" si="4"/>
        <v>818.81280000000015</v>
      </c>
      <c r="I19" s="7">
        <f t="shared" si="4"/>
        <v>781.0214400000001</v>
      </c>
      <c r="J19" s="7">
        <f t="shared" si="4"/>
        <v>755.82720000000006</v>
      </c>
      <c r="K19" s="7">
        <f t="shared" si="4"/>
        <v>730.63296000000003</v>
      </c>
      <c r="L19" s="7"/>
      <c r="M19" s="7"/>
      <c r="N19" s="7"/>
    </row>
    <row r="20" spans="2:14" x14ac:dyDescent="0.3">
      <c r="B20" s="6" t="s">
        <v>11</v>
      </c>
      <c r="C20" s="7">
        <f t="shared" si="1"/>
        <v>1360.4889600000004</v>
      </c>
      <c r="D20" s="7">
        <f t="shared" ref="D20:J20" si="5">$C20*D$12</f>
        <v>1156.4156160000002</v>
      </c>
      <c r="E20" s="7">
        <f t="shared" si="5"/>
        <v>1061.1813888000004</v>
      </c>
      <c r="F20" s="7">
        <f t="shared" si="5"/>
        <v>979.55205120000028</v>
      </c>
      <c r="G20" s="7">
        <f t="shared" si="5"/>
        <v>925.13249280000036</v>
      </c>
      <c r="H20" s="7">
        <f t="shared" si="5"/>
        <v>884.31782400000031</v>
      </c>
      <c r="I20" s="7">
        <f t="shared" si="5"/>
        <v>843.50315520000026</v>
      </c>
      <c r="J20" s="7">
        <f t="shared" si="5"/>
        <v>816.29337600000019</v>
      </c>
      <c r="K20" s="7"/>
      <c r="L20" s="7"/>
      <c r="M20" s="7"/>
      <c r="N20" s="7"/>
    </row>
    <row r="21" spans="2:14" x14ac:dyDescent="0.3">
      <c r="B21" s="6" t="s">
        <v>12</v>
      </c>
      <c r="C21" s="7">
        <f t="shared" si="1"/>
        <v>1469.3280768000004</v>
      </c>
      <c r="D21" s="7">
        <f t="shared" ref="D21:I21" si="6">$C21*D$12</f>
        <v>1248.9288652800003</v>
      </c>
      <c r="E21" s="7">
        <f t="shared" si="6"/>
        <v>1146.0758999040004</v>
      </c>
      <c r="F21" s="7">
        <f t="shared" si="6"/>
        <v>1057.9162152960002</v>
      </c>
      <c r="G21" s="7">
        <f t="shared" si="6"/>
        <v>999.14309222400038</v>
      </c>
      <c r="H21" s="7">
        <f t="shared" si="6"/>
        <v>955.06324992000032</v>
      </c>
      <c r="I21" s="7">
        <f t="shared" si="6"/>
        <v>910.98340761600025</v>
      </c>
      <c r="J21" s="7"/>
      <c r="K21" s="7"/>
      <c r="L21" s="7"/>
      <c r="M21" s="7"/>
      <c r="N21" s="7"/>
    </row>
    <row r="22" spans="2:14" x14ac:dyDescent="0.3">
      <c r="B22" s="6" t="s">
        <v>13</v>
      </c>
      <c r="C22" s="7">
        <f t="shared" si="1"/>
        <v>1586.8743229440006</v>
      </c>
      <c r="D22" s="7">
        <f>$C22*D$12</f>
        <v>1348.8431745024004</v>
      </c>
      <c r="E22" s="7">
        <f>$C22*E$12</f>
        <v>1237.7619718963206</v>
      </c>
      <c r="F22" s="7">
        <f>$C22*F$12</f>
        <v>1142.5495125196803</v>
      </c>
      <c r="G22" s="7">
        <f>$C22*G$12</f>
        <v>1079.0745396019204</v>
      </c>
      <c r="H22" s="7">
        <f>$C22*H$12</f>
        <v>1031.4683099136005</v>
      </c>
      <c r="I22" s="7"/>
      <c r="J22" s="7"/>
      <c r="K22" s="7"/>
      <c r="L22" s="7"/>
      <c r="M22" s="7"/>
      <c r="N22" s="7"/>
    </row>
    <row r="23" spans="2:14" x14ac:dyDescent="0.3">
      <c r="B23" s="6" t="s">
        <v>14</v>
      </c>
      <c r="C23" s="7">
        <f t="shared" si="1"/>
        <v>1713.8242687795207</v>
      </c>
      <c r="D23" s="7">
        <f>$C23*D$12</f>
        <v>1456.7506284625927</v>
      </c>
      <c r="E23" s="7">
        <f>$C23*E$12</f>
        <v>1336.7829296480263</v>
      </c>
      <c r="F23" s="7">
        <f>$C23*F$12</f>
        <v>1233.9534735212549</v>
      </c>
      <c r="G23" s="7">
        <f>$C23*G$12</f>
        <v>1165.4005027700741</v>
      </c>
      <c r="H23" s="7"/>
      <c r="I23" s="7"/>
      <c r="J23" s="7"/>
      <c r="K23" s="7"/>
      <c r="L23" s="7"/>
      <c r="M23" s="7"/>
      <c r="N23" s="7"/>
    </row>
    <row r="24" spans="2:14" x14ac:dyDescent="0.3">
      <c r="B24" s="6" t="s">
        <v>15</v>
      </c>
      <c r="C24" s="7">
        <f t="shared" si="1"/>
        <v>1850.9302102818824</v>
      </c>
      <c r="D24" s="7">
        <f>$C24*D$12</f>
        <v>1573.2906787396</v>
      </c>
      <c r="E24" s="7">
        <f>$C24*E$12</f>
        <v>1443.7255640198682</v>
      </c>
      <c r="F24" s="7">
        <f>$C24*F$12</f>
        <v>1332.6697514029554</v>
      </c>
      <c r="G24" s="7"/>
      <c r="H24" s="7"/>
      <c r="I24" s="7"/>
      <c r="J24" s="7"/>
      <c r="K24" s="7"/>
      <c r="L24" s="7"/>
      <c r="M24" s="7"/>
      <c r="N24" s="7"/>
    </row>
    <row r="25" spans="2:14" x14ac:dyDescent="0.3">
      <c r="B25" s="6" t="s">
        <v>16</v>
      </c>
      <c r="C25" s="7">
        <f t="shared" si="1"/>
        <v>1999.0046271044332</v>
      </c>
      <c r="D25" s="7">
        <f>$C25*D$12</f>
        <v>1699.1539330387682</v>
      </c>
      <c r="E25" s="7">
        <f>$C25*E$12</f>
        <v>1559.2236091414579</v>
      </c>
      <c r="F25" s="7"/>
      <c r="G25" s="7"/>
      <c r="H25" s="7"/>
      <c r="I25" s="7"/>
      <c r="J25" s="7"/>
      <c r="K25" s="7"/>
      <c r="L25" s="7"/>
      <c r="M25" s="7"/>
      <c r="N25" s="7"/>
    </row>
    <row r="26" spans="2:14" x14ac:dyDescent="0.3">
      <c r="B26" s="6" t="s">
        <v>17</v>
      </c>
      <c r="C26" s="7">
        <f t="shared" si="1"/>
        <v>2158.924997272788</v>
      </c>
      <c r="D26" s="7">
        <f>$C26*D$12</f>
        <v>1835.0862476818697</v>
      </c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3">
      <c r="B27" s="6" t="s">
        <v>18</v>
      </c>
      <c r="C27" s="7">
        <f t="shared" si="1"/>
        <v>2331.6389970546111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4" x14ac:dyDescent="0.3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2:14" x14ac:dyDescent="0.3">
      <c r="B29" s="1" t="s">
        <v>19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2:14" x14ac:dyDescent="0.3">
      <c r="B30" s="5" t="s">
        <v>6</v>
      </c>
      <c r="C30" s="5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5" t="s">
        <v>15</v>
      </c>
      <c r="L30" s="5" t="s">
        <v>16</v>
      </c>
      <c r="M30" s="5" t="s">
        <v>17</v>
      </c>
      <c r="N30" s="5" t="s">
        <v>18</v>
      </c>
    </row>
    <row r="31" spans="2:14" x14ac:dyDescent="0.3">
      <c r="B31" s="6" t="s">
        <v>7</v>
      </c>
      <c r="C31" s="11">
        <f t="shared" ref="C31:N31" si="7">C16*$C$7</f>
        <v>50000</v>
      </c>
      <c r="D31" s="11">
        <f t="shared" si="7"/>
        <v>42500</v>
      </c>
      <c r="E31" s="11">
        <f t="shared" si="7"/>
        <v>39000</v>
      </c>
      <c r="F31" s="11">
        <f t="shared" si="7"/>
        <v>36000</v>
      </c>
      <c r="G31" s="11">
        <f t="shared" si="7"/>
        <v>34000</v>
      </c>
      <c r="H31" s="11">
        <f t="shared" si="7"/>
        <v>32500</v>
      </c>
      <c r="I31" s="11">
        <f t="shared" si="7"/>
        <v>31000</v>
      </c>
      <c r="J31" s="11">
        <f t="shared" si="7"/>
        <v>30000</v>
      </c>
      <c r="K31" s="11">
        <f t="shared" si="7"/>
        <v>29000</v>
      </c>
      <c r="L31" s="11">
        <f t="shared" si="7"/>
        <v>28000</v>
      </c>
      <c r="M31" s="11">
        <f t="shared" si="7"/>
        <v>27500</v>
      </c>
      <c r="N31" s="11">
        <f t="shared" si="7"/>
        <v>27000</v>
      </c>
    </row>
    <row r="32" spans="2:14" x14ac:dyDescent="0.3">
      <c r="B32" s="6" t="s">
        <v>8</v>
      </c>
      <c r="C32" s="11">
        <f t="shared" ref="C32:M32" si="8">C17*$C$7</f>
        <v>54000</v>
      </c>
      <c r="D32" s="11">
        <f t="shared" si="8"/>
        <v>45900</v>
      </c>
      <c r="E32" s="11">
        <f t="shared" si="8"/>
        <v>42120</v>
      </c>
      <c r="F32" s="11">
        <f t="shared" si="8"/>
        <v>38880</v>
      </c>
      <c r="G32" s="11">
        <f t="shared" si="8"/>
        <v>36720.000000000007</v>
      </c>
      <c r="H32" s="11">
        <f t="shared" si="8"/>
        <v>35100</v>
      </c>
      <c r="I32" s="11">
        <f t="shared" si="8"/>
        <v>33480</v>
      </c>
      <c r="J32" s="11">
        <f t="shared" si="8"/>
        <v>32400</v>
      </c>
      <c r="K32" s="11">
        <f t="shared" si="8"/>
        <v>31320</v>
      </c>
      <c r="L32" s="11">
        <f t="shared" si="8"/>
        <v>30240.000000000004</v>
      </c>
      <c r="M32" s="11">
        <f t="shared" si="8"/>
        <v>29700</v>
      </c>
      <c r="N32" s="11"/>
    </row>
    <row r="33" spans="2:14" x14ac:dyDescent="0.3">
      <c r="B33" s="6" t="s">
        <v>9</v>
      </c>
      <c r="C33" s="11">
        <f t="shared" ref="C33:L33" si="9">C18*$C$7</f>
        <v>58320.000000000007</v>
      </c>
      <c r="D33" s="11">
        <f t="shared" si="9"/>
        <v>49572</v>
      </c>
      <c r="E33" s="11">
        <f t="shared" si="9"/>
        <v>45489.600000000006</v>
      </c>
      <c r="F33" s="11">
        <f t="shared" si="9"/>
        <v>41990.400000000001</v>
      </c>
      <c r="G33" s="11">
        <f t="shared" si="9"/>
        <v>39657.600000000006</v>
      </c>
      <c r="H33" s="11">
        <f t="shared" si="9"/>
        <v>37908.000000000007</v>
      </c>
      <c r="I33" s="11">
        <f t="shared" si="9"/>
        <v>36158.400000000001</v>
      </c>
      <c r="J33" s="11">
        <f t="shared" si="9"/>
        <v>34992</v>
      </c>
      <c r="K33" s="11">
        <f t="shared" si="9"/>
        <v>33825.600000000006</v>
      </c>
      <c r="L33" s="11">
        <f t="shared" si="9"/>
        <v>32659.200000000004</v>
      </c>
      <c r="M33" s="11"/>
      <c r="N33" s="11"/>
    </row>
    <row r="34" spans="2:14" x14ac:dyDescent="0.3">
      <c r="B34" s="6" t="s">
        <v>10</v>
      </c>
      <c r="C34" s="11">
        <f t="shared" ref="C34:K34" si="10">C19*$C$7</f>
        <v>62985.600000000013</v>
      </c>
      <c r="D34" s="11">
        <f t="shared" si="10"/>
        <v>53537.760000000002</v>
      </c>
      <c r="E34" s="11">
        <f t="shared" si="10"/>
        <v>49128.768000000011</v>
      </c>
      <c r="F34" s="11">
        <f t="shared" si="10"/>
        <v>45349.632000000005</v>
      </c>
      <c r="G34" s="11">
        <f t="shared" si="10"/>
        <v>42830.208000000013</v>
      </c>
      <c r="H34" s="11">
        <f t="shared" si="10"/>
        <v>40940.640000000007</v>
      </c>
      <c r="I34" s="11">
        <f t="shared" si="10"/>
        <v>39051.072000000007</v>
      </c>
      <c r="J34" s="11">
        <f t="shared" si="10"/>
        <v>37791.360000000001</v>
      </c>
      <c r="K34" s="11">
        <f t="shared" si="10"/>
        <v>36531.648000000001</v>
      </c>
      <c r="L34" s="11"/>
      <c r="M34" s="11"/>
      <c r="N34" s="11"/>
    </row>
    <row r="35" spans="2:14" x14ac:dyDescent="0.3">
      <c r="B35" s="6" t="s">
        <v>11</v>
      </c>
      <c r="C35" s="11">
        <f t="shared" ref="C35:J35" si="11">C20*$C$7</f>
        <v>68024.448000000019</v>
      </c>
      <c r="D35" s="11">
        <f t="shared" si="11"/>
        <v>57820.780800000008</v>
      </c>
      <c r="E35" s="11">
        <f t="shared" si="11"/>
        <v>53059.069440000021</v>
      </c>
      <c r="F35" s="11">
        <f t="shared" si="11"/>
        <v>48977.602560000014</v>
      </c>
      <c r="G35" s="11">
        <f t="shared" si="11"/>
        <v>46256.624640000016</v>
      </c>
      <c r="H35" s="11">
        <f t="shared" si="11"/>
        <v>44215.891200000013</v>
      </c>
      <c r="I35" s="11">
        <f t="shared" si="11"/>
        <v>42175.157760000016</v>
      </c>
      <c r="J35" s="11">
        <f t="shared" si="11"/>
        <v>40814.668800000007</v>
      </c>
      <c r="K35" s="11"/>
      <c r="L35" s="11"/>
      <c r="M35" s="11"/>
      <c r="N35" s="11"/>
    </row>
    <row r="36" spans="2:14" x14ac:dyDescent="0.3">
      <c r="B36" s="6" t="s">
        <v>12</v>
      </c>
      <c r="C36" s="11">
        <f t="shared" ref="C36:I36" si="12">C21*$C$7</f>
        <v>73466.403840000014</v>
      </c>
      <c r="D36" s="11">
        <f t="shared" si="12"/>
        <v>62446.443264000016</v>
      </c>
      <c r="E36" s="11">
        <f t="shared" si="12"/>
        <v>57303.79499520002</v>
      </c>
      <c r="F36" s="11">
        <f t="shared" si="12"/>
        <v>52895.810764800015</v>
      </c>
      <c r="G36" s="11">
        <f t="shared" si="12"/>
        <v>49957.154611200021</v>
      </c>
      <c r="H36" s="11">
        <f t="shared" si="12"/>
        <v>47753.162496000019</v>
      </c>
      <c r="I36" s="11">
        <f t="shared" si="12"/>
        <v>45549.170380800009</v>
      </c>
      <c r="J36" s="11"/>
      <c r="K36" s="11"/>
      <c r="L36" s="11"/>
      <c r="M36" s="11"/>
      <c r="N36" s="11"/>
    </row>
    <row r="37" spans="2:14" x14ac:dyDescent="0.3">
      <c r="B37" s="6" t="s">
        <v>13</v>
      </c>
      <c r="C37" s="11">
        <f t="shared" ref="C37:H37" si="13">C22*$C$7</f>
        <v>79343.71614720003</v>
      </c>
      <c r="D37" s="11">
        <f t="shared" si="13"/>
        <v>67442.158725120025</v>
      </c>
      <c r="E37" s="11">
        <f t="shared" si="13"/>
        <v>61888.098594816031</v>
      </c>
      <c r="F37" s="11">
        <f t="shared" si="13"/>
        <v>57127.475625984014</v>
      </c>
      <c r="G37" s="11">
        <f t="shared" si="13"/>
        <v>53953.72698009602</v>
      </c>
      <c r="H37" s="11">
        <f t="shared" si="13"/>
        <v>51573.415495680027</v>
      </c>
      <c r="I37" s="11"/>
      <c r="J37" s="11"/>
      <c r="K37" s="11"/>
      <c r="L37" s="11"/>
      <c r="M37" s="11"/>
      <c r="N37" s="11"/>
    </row>
    <row r="38" spans="2:14" x14ac:dyDescent="0.3">
      <c r="B38" s="6" t="s">
        <v>14</v>
      </c>
      <c r="C38" s="11">
        <f>C23*$C$7</f>
        <v>85691.213438976032</v>
      </c>
      <c r="D38" s="11">
        <f>D23*$C$7</f>
        <v>72837.531423129636</v>
      </c>
      <c r="E38" s="11">
        <f>E23*$C$7</f>
        <v>66839.146482401309</v>
      </c>
      <c r="F38" s="11">
        <f>F23*$C$7</f>
        <v>61697.673676062746</v>
      </c>
      <c r="G38" s="11">
        <f>G23*$C$7</f>
        <v>58270.025138503705</v>
      </c>
      <c r="H38" s="11"/>
      <c r="I38" s="11"/>
      <c r="J38" s="11"/>
      <c r="K38" s="11"/>
      <c r="L38" s="11"/>
      <c r="M38" s="11"/>
      <c r="N38" s="11"/>
    </row>
    <row r="39" spans="2:14" x14ac:dyDescent="0.3">
      <c r="B39" s="6" t="s">
        <v>15</v>
      </c>
      <c r="C39" s="11">
        <f>C24*$C$7</f>
        <v>92546.510514094116</v>
      </c>
      <c r="D39" s="11">
        <f>D24*$C$7</f>
        <v>78664.533936980006</v>
      </c>
      <c r="E39" s="11">
        <f>E24*$C$7</f>
        <v>72186.278200993416</v>
      </c>
      <c r="F39" s="11">
        <f>F24*$C$7</f>
        <v>66633.487570147772</v>
      </c>
      <c r="G39" s="11"/>
      <c r="H39" s="11"/>
      <c r="I39" s="11"/>
      <c r="J39" s="11"/>
      <c r="K39" s="11"/>
      <c r="L39" s="11"/>
      <c r="M39" s="11"/>
      <c r="N39" s="11"/>
    </row>
    <row r="40" spans="2:14" x14ac:dyDescent="0.3">
      <c r="B40" s="6" t="s">
        <v>16</v>
      </c>
      <c r="C40" s="11">
        <f>C25*$C$7</f>
        <v>99950.231355221666</v>
      </c>
      <c r="D40" s="11">
        <f>D25*$C$7</f>
        <v>84957.696651938415</v>
      </c>
      <c r="E40" s="11">
        <f>E25*$C$7</f>
        <v>77961.1804570729</v>
      </c>
      <c r="F40" s="11"/>
      <c r="G40" s="11"/>
      <c r="H40" s="11"/>
      <c r="I40" s="11"/>
      <c r="J40" s="11"/>
      <c r="K40" s="11"/>
      <c r="L40" s="11"/>
      <c r="M40" s="11"/>
      <c r="N40" s="11"/>
    </row>
    <row r="41" spans="2:14" x14ac:dyDescent="0.3">
      <c r="B41" s="6" t="s">
        <v>17</v>
      </c>
      <c r="C41" s="11">
        <f>C26*$C$7</f>
        <v>107946.2498636394</v>
      </c>
      <c r="D41" s="11">
        <f>D26*$C$7</f>
        <v>91754.312384093486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4" x14ac:dyDescent="0.3">
      <c r="B42" s="6" t="s">
        <v>18</v>
      </c>
      <c r="C42" s="11">
        <f>C27*$C$7</f>
        <v>116581.94985273055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2:14" x14ac:dyDescent="0.3">
      <c r="C43" s="8"/>
      <c r="D43" s="8"/>
      <c r="E43" s="8"/>
      <c r="F43" s="8"/>
      <c r="G43" s="8"/>
      <c r="H43" s="8"/>
      <c r="I43" s="11"/>
      <c r="J43" s="11"/>
      <c r="K43" s="11"/>
      <c r="L43" s="11"/>
      <c r="M43" s="8"/>
      <c r="N43" s="8"/>
    </row>
    <row r="44" spans="2:14" x14ac:dyDescent="0.3">
      <c r="B44" s="1" t="s">
        <v>20</v>
      </c>
      <c r="C44" s="9"/>
      <c r="D44" s="9"/>
      <c r="E44" s="9"/>
      <c r="F44" s="9"/>
      <c r="G44" s="9"/>
      <c r="H44" s="8"/>
      <c r="I44" s="11"/>
      <c r="J44" s="11"/>
      <c r="K44" s="11"/>
      <c r="L44" s="11"/>
      <c r="M44" s="8"/>
      <c r="N44" s="8"/>
    </row>
    <row r="45" spans="2:14" ht="46.8" x14ac:dyDescent="0.3">
      <c r="B45" s="5" t="s">
        <v>6</v>
      </c>
      <c r="C45" s="15" t="s">
        <v>22</v>
      </c>
      <c r="D45" s="15" t="s">
        <v>23</v>
      </c>
      <c r="E45" s="5" t="s">
        <v>4</v>
      </c>
      <c r="F45" s="15" t="s">
        <v>24</v>
      </c>
      <c r="G45" s="15" t="s">
        <v>25</v>
      </c>
      <c r="H45" s="8"/>
      <c r="I45" s="11"/>
      <c r="J45" s="11"/>
      <c r="K45" s="11"/>
      <c r="L45" s="11"/>
      <c r="M45" s="8"/>
      <c r="N45" s="8"/>
    </row>
    <row r="46" spans="2:14" x14ac:dyDescent="0.3">
      <c r="B46" s="6" t="s">
        <v>7</v>
      </c>
      <c r="C46" s="11">
        <f t="shared" ref="C46:C57" si="14">SUM(C31:N31)</f>
        <v>406500</v>
      </c>
      <c r="D46" s="12">
        <f t="shared" ref="D46:D57" si="15">C46/C16</f>
        <v>406.5</v>
      </c>
      <c r="E46" s="8">
        <f t="shared" ref="E46:E57" si="16">$C$8</f>
        <v>75</v>
      </c>
      <c r="F46" s="12">
        <f>D46-E46</f>
        <v>331.5</v>
      </c>
      <c r="G46" s="13">
        <f>D46/E46</f>
        <v>5.42</v>
      </c>
      <c r="H46" s="8"/>
      <c r="I46" s="11"/>
      <c r="J46" s="11"/>
      <c r="K46" s="11"/>
      <c r="L46" s="11"/>
      <c r="M46" s="8"/>
      <c r="N46" s="8"/>
    </row>
    <row r="47" spans="2:14" x14ac:dyDescent="0.3">
      <c r="B47" s="6" t="s">
        <v>8</v>
      </c>
      <c r="C47" s="11">
        <f t="shared" si="14"/>
        <v>409860</v>
      </c>
      <c r="D47" s="12">
        <f t="shared" si="15"/>
        <v>379.5</v>
      </c>
      <c r="E47" s="8">
        <f t="shared" si="16"/>
        <v>75</v>
      </c>
      <c r="F47" s="12">
        <f t="shared" ref="F47:F57" si="17">D47-E47</f>
        <v>304.5</v>
      </c>
      <c r="G47" s="13">
        <f t="shared" ref="G47:G57" si="18">D47/E47</f>
        <v>5.0599999999999996</v>
      </c>
      <c r="H47" s="8"/>
      <c r="I47" s="11"/>
      <c r="J47" s="11"/>
      <c r="K47" s="11"/>
      <c r="L47" s="11"/>
      <c r="M47" s="8"/>
      <c r="N47" s="8"/>
    </row>
    <row r="48" spans="2:14" x14ac:dyDescent="0.3">
      <c r="B48" s="6" t="s">
        <v>9</v>
      </c>
      <c r="C48" s="11">
        <f t="shared" si="14"/>
        <v>410572.8000000001</v>
      </c>
      <c r="D48" s="12">
        <f t="shared" si="15"/>
        <v>352.00000000000006</v>
      </c>
      <c r="E48" s="8">
        <f t="shared" si="16"/>
        <v>75</v>
      </c>
      <c r="F48" s="12">
        <f t="shared" si="17"/>
        <v>277.00000000000006</v>
      </c>
      <c r="G48" s="13">
        <f t="shared" si="18"/>
        <v>4.6933333333333342</v>
      </c>
      <c r="H48" s="8"/>
      <c r="I48" s="11"/>
      <c r="J48" s="11"/>
      <c r="K48" s="11"/>
      <c r="L48" s="11"/>
      <c r="M48" s="8"/>
      <c r="N48" s="8"/>
    </row>
    <row r="49" spans="2:14" x14ac:dyDescent="0.3">
      <c r="B49" s="6" t="s">
        <v>10</v>
      </c>
      <c r="C49" s="11">
        <f t="shared" si="14"/>
        <v>408146.68800000002</v>
      </c>
      <c r="D49" s="12">
        <f t="shared" si="15"/>
        <v>323.99999999999994</v>
      </c>
      <c r="E49" s="8">
        <f t="shared" si="16"/>
        <v>75</v>
      </c>
      <c r="F49" s="12">
        <f t="shared" si="17"/>
        <v>248.99999999999994</v>
      </c>
      <c r="G49" s="13">
        <f t="shared" si="18"/>
        <v>4.3199999999999994</v>
      </c>
      <c r="H49" s="8"/>
      <c r="I49" s="11"/>
      <c r="J49" s="11"/>
      <c r="K49" s="11"/>
      <c r="L49" s="11"/>
      <c r="M49" s="8"/>
      <c r="N49" s="8"/>
    </row>
    <row r="50" spans="2:14" x14ac:dyDescent="0.3">
      <c r="B50" s="6" t="s">
        <v>11</v>
      </c>
      <c r="C50" s="11">
        <f t="shared" si="14"/>
        <v>401344.24320000008</v>
      </c>
      <c r="D50" s="12">
        <f t="shared" si="15"/>
        <v>295</v>
      </c>
      <c r="E50" s="8">
        <f t="shared" si="16"/>
        <v>75</v>
      </c>
      <c r="F50" s="12">
        <f t="shared" si="17"/>
        <v>220</v>
      </c>
      <c r="G50" s="13">
        <f t="shared" si="18"/>
        <v>3.9333333333333331</v>
      </c>
      <c r="H50" s="8"/>
      <c r="I50" s="11"/>
      <c r="J50" s="11"/>
      <c r="K50" s="11"/>
      <c r="L50" s="11"/>
      <c r="M50" s="8"/>
      <c r="N50" s="8"/>
    </row>
    <row r="51" spans="2:14" x14ac:dyDescent="0.3">
      <c r="B51" s="6" t="s">
        <v>12</v>
      </c>
      <c r="C51" s="11">
        <f t="shared" si="14"/>
        <v>389371.94035200012</v>
      </c>
      <c r="D51" s="12">
        <f t="shared" si="15"/>
        <v>265</v>
      </c>
      <c r="E51" s="8">
        <f t="shared" si="16"/>
        <v>75</v>
      </c>
      <c r="F51" s="12">
        <f t="shared" si="17"/>
        <v>190</v>
      </c>
      <c r="G51" s="13">
        <f t="shared" si="18"/>
        <v>3.5333333333333332</v>
      </c>
      <c r="H51" s="8"/>
      <c r="I51" s="11"/>
      <c r="J51" s="11"/>
      <c r="K51" s="11"/>
      <c r="L51" s="11"/>
      <c r="M51" s="8"/>
      <c r="N51" s="8"/>
    </row>
    <row r="52" spans="2:14" x14ac:dyDescent="0.3">
      <c r="B52" s="6" t="s">
        <v>13</v>
      </c>
      <c r="C52" s="11">
        <f t="shared" si="14"/>
        <v>371328.59156889608</v>
      </c>
      <c r="D52" s="12">
        <f t="shared" si="15"/>
        <v>233.99999999999997</v>
      </c>
      <c r="E52" s="8">
        <f t="shared" si="16"/>
        <v>75</v>
      </c>
      <c r="F52" s="12">
        <f t="shared" si="17"/>
        <v>158.99999999999997</v>
      </c>
      <c r="G52" s="13">
        <f t="shared" si="18"/>
        <v>3.1199999999999997</v>
      </c>
      <c r="H52" s="8"/>
      <c r="I52" s="11"/>
      <c r="J52" s="11"/>
      <c r="K52" s="11"/>
      <c r="L52" s="11"/>
      <c r="M52" s="8"/>
      <c r="N52" s="8"/>
    </row>
    <row r="53" spans="2:14" x14ac:dyDescent="0.3">
      <c r="B53" s="6" t="s">
        <v>14</v>
      </c>
      <c r="C53" s="11">
        <f t="shared" si="14"/>
        <v>345335.59015907341</v>
      </c>
      <c r="D53" s="12">
        <f t="shared" si="15"/>
        <v>201.5</v>
      </c>
      <c r="E53" s="8">
        <f t="shared" si="16"/>
        <v>75</v>
      </c>
      <c r="F53" s="12">
        <f t="shared" si="17"/>
        <v>126.5</v>
      </c>
      <c r="G53" s="13">
        <f t="shared" si="18"/>
        <v>2.6866666666666665</v>
      </c>
      <c r="H53" s="8"/>
      <c r="I53" s="11"/>
      <c r="J53" s="11"/>
      <c r="K53" s="11"/>
      <c r="L53" s="11"/>
      <c r="M53" s="8"/>
      <c r="N53" s="8"/>
    </row>
    <row r="54" spans="2:14" x14ac:dyDescent="0.3">
      <c r="B54" s="6" t="s">
        <v>15</v>
      </c>
      <c r="C54" s="11">
        <f t="shared" si="14"/>
        <v>310030.81022221531</v>
      </c>
      <c r="D54" s="12">
        <f t="shared" si="15"/>
        <v>167.5</v>
      </c>
      <c r="E54" s="8">
        <f t="shared" si="16"/>
        <v>75</v>
      </c>
      <c r="F54" s="12">
        <f t="shared" si="17"/>
        <v>92.5</v>
      </c>
      <c r="G54" s="13">
        <f t="shared" si="18"/>
        <v>2.2333333333333334</v>
      </c>
      <c r="H54" s="8"/>
      <c r="I54" s="11"/>
      <c r="J54" s="11"/>
      <c r="K54" s="11"/>
      <c r="L54" s="11"/>
      <c r="M54" s="8"/>
      <c r="N54" s="8"/>
    </row>
    <row r="55" spans="2:14" x14ac:dyDescent="0.3">
      <c r="B55" s="6" t="s">
        <v>16</v>
      </c>
      <c r="C55" s="11">
        <f t="shared" si="14"/>
        <v>262869.108464233</v>
      </c>
      <c r="D55" s="12">
        <f t="shared" si="15"/>
        <v>131.5</v>
      </c>
      <c r="E55" s="8">
        <f t="shared" si="16"/>
        <v>75</v>
      </c>
      <c r="F55" s="12">
        <f t="shared" si="17"/>
        <v>56.5</v>
      </c>
      <c r="G55" s="13">
        <f t="shared" si="18"/>
        <v>1.7533333333333334</v>
      </c>
      <c r="H55" s="8"/>
      <c r="I55" s="11"/>
      <c r="J55" s="11"/>
      <c r="K55" s="11"/>
      <c r="L55" s="11"/>
      <c r="M55" s="8"/>
      <c r="N55" s="8"/>
    </row>
    <row r="56" spans="2:14" x14ac:dyDescent="0.3">
      <c r="B56" s="6" t="s">
        <v>17</v>
      </c>
      <c r="C56" s="11">
        <f t="shared" si="14"/>
        <v>199700.56224773289</v>
      </c>
      <c r="D56" s="12">
        <f t="shared" si="15"/>
        <v>92.5</v>
      </c>
      <c r="E56" s="8">
        <f t="shared" si="16"/>
        <v>75</v>
      </c>
      <c r="F56" s="12">
        <f t="shared" si="17"/>
        <v>17.5</v>
      </c>
      <c r="G56" s="13">
        <f t="shared" si="18"/>
        <v>1.2333333333333334</v>
      </c>
      <c r="H56" s="8"/>
      <c r="I56" s="11"/>
      <c r="J56" s="11"/>
      <c r="K56" s="11"/>
      <c r="L56" s="11"/>
      <c r="M56" s="8"/>
      <c r="N56" s="8"/>
    </row>
    <row r="57" spans="2:14" x14ac:dyDescent="0.3">
      <c r="B57" s="6" t="s">
        <v>18</v>
      </c>
      <c r="C57" s="11">
        <f t="shared" si="14"/>
        <v>116581.94985273055</v>
      </c>
      <c r="D57" s="12">
        <f t="shared" si="15"/>
        <v>50</v>
      </c>
      <c r="E57" s="8">
        <f t="shared" si="16"/>
        <v>75</v>
      </c>
      <c r="F57" s="12">
        <f t="shared" si="17"/>
        <v>-25</v>
      </c>
      <c r="G57" s="13">
        <f t="shared" si="18"/>
        <v>0.66666666666666663</v>
      </c>
      <c r="H57" s="8"/>
      <c r="I57" s="11"/>
      <c r="J57" s="11"/>
      <c r="K57" s="11"/>
      <c r="L57" s="11"/>
      <c r="M57" s="8"/>
      <c r="N57" s="8"/>
    </row>
    <row r="58" spans="2:14" x14ac:dyDescent="0.3">
      <c r="I58" s="11"/>
      <c r="J58" s="11"/>
      <c r="K58" s="11"/>
      <c r="L58" s="11"/>
    </row>
    <row r="59" spans="2:14" x14ac:dyDescent="0.3">
      <c r="B59" s="18" t="s">
        <v>21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</sheetData>
  <phoneticPr fontId="3" type="noConversion"/>
  <conditionalFormatting sqref="C16:N27">
    <cfRule type="colorScale" priority="1">
      <colorScale>
        <cfvo type="min"/>
        <cfvo type="max"/>
        <color rgb="FFFCFCFF"/>
        <color rgb="FFC00000"/>
      </colorScale>
    </cfRule>
  </conditionalFormatting>
  <conditionalFormatting sqref="C31:N41">
    <cfRule type="colorScale" priority="4">
      <colorScale>
        <cfvo type="min"/>
        <cfvo type="max"/>
        <color rgb="FFFCFCFF"/>
        <color rgb="FF63BE7B"/>
      </colorScale>
    </cfRule>
  </conditionalFormatting>
  <conditionalFormatting sqref="C31:N42 I42:L58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Start File</vt:lpstr>
      <vt:lpstr>End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Saumya jain</cp:lastModifiedBy>
  <dcterms:created xsi:type="dcterms:W3CDTF">2026-02-06T00:50:26Z</dcterms:created>
  <dcterms:modified xsi:type="dcterms:W3CDTF">2026-04-06T16:36:12Z</dcterms:modified>
</cp:coreProperties>
</file>